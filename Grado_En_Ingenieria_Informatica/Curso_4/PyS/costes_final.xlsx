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anig\Desktop\UNI\4ANO1CUATRI\PyS\proyecto\"/>
    </mc:Choice>
  </mc:AlternateContent>
  <xr:revisionPtr revIDLastSave="0" documentId="13_ncr:1_{E99619CE-5D98-473C-8F70-BB817B06F387}" xr6:coauthVersionLast="47" xr6:coauthVersionMax="47" xr10:uidLastSave="{00000000-0000-0000-0000-000000000000}"/>
  <bookViews>
    <workbookView xWindow="-108" yWindow="-108" windowWidth="23256" windowHeight="1317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6" i="1" l="1"/>
  <c r="L45" i="1"/>
  <c r="L44" i="1"/>
  <c r="K12" i="1"/>
  <c r="K11" i="1"/>
  <c r="K9" i="1"/>
  <c r="K10" i="1"/>
  <c r="K8" i="1"/>
  <c r="K7" i="1"/>
  <c r="P57" i="1"/>
  <c r="O57" i="1"/>
  <c r="H13" i="1"/>
  <c r="H14" i="1"/>
  <c r="H15" i="1"/>
  <c r="H12" i="1"/>
  <c r="O56" i="1"/>
  <c r="P46" i="1"/>
  <c r="P47" i="1"/>
  <c r="P48" i="1"/>
  <c r="P49" i="1"/>
  <c r="P50" i="1"/>
  <c r="P51" i="1"/>
  <c r="P52" i="1"/>
  <c r="P53" i="1"/>
  <c r="P54" i="1"/>
  <c r="P55" i="1"/>
  <c r="P45" i="1"/>
  <c r="H8" i="1"/>
  <c r="H9" i="1"/>
  <c r="H10" i="1"/>
  <c r="H11" i="1"/>
  <c r="H7" i="1"/>
  <c r="P44" i="1"/>
  <c r="P56" i="1" s="1"/>
  <c r="L38" i="1"/>
  <c r="L37" i="1"/>
  <c r="L36" i="1"/>
  <c r="L34" i="1"/>
  <c r="L33" i="1"/>
  <c r="L32" i="1"/>
  <c r="L31" i="1"/>
  <c r="L30" i="1"/>
  <c r="L28" i="1"/>
  <c r="L26" i="1"/>
  <c r="F17" i="1"/>
  <c r="L56" i="1" l="1"/>
  <c r="F48" i="1" s="1"/>
  <c r="H17" i="1"/>
  <c r="F43" i="1"/>
  <c r="F45" i="1" l="1"/>
  <c r="F55" i="1" s="1"/>
  <c r="I46" i="1" s="1"/>
  <c r="I47" i="1" s="1"/>
</calcChain>
</file>

<file path=xl/sharedStrings.xml><?xml version="1.0" encoding="utf-8"?>
<sst xmlns="http://schemas.openxmlformats.org/spreadsheetml/2006/main" count="97" uniqueCount="83">
  <si>
    <t>Costes</t>
  </si>
  <si>
    <t>Costes+IVA</t>
  </si>
  <si>
    <t>Dirección</t>
  </si>
  <si>
    <t>Equípo Desarrollo</t>
  </si>
  <si>
    <t>RecursosHumanos</t>
  </si>
  <si>
    <t>Nombre</t>
  </si>
  <si>
    <t>Puesto</t>
  </si>
  <si>
    <t>CEO</t>
  </si>
  <si>
    <t>CTO/Data</t>
  </si>
  <si>
    <t>CPO</t>
  </si>
  <si>
    <t>FrontEnd</t>
  </si>
  <si>
    <t>Data</t>
  </si>
  <si>
    <t>BackEnd</t>
  </si>
  <si>
    <t xml:space="preserve">Rodrigo Peña Marqués </t>
  </si>
  <si>
    <t>Daniel García Salinas</t>
  </si>
  <si>
    <t>Denise Baltic</t>
  </si>
  <si>
    <t>Marcos Almaraz Arranz</t>
  </si>
  <si>
    <t>RecursosMateriales</t>
  </si>
  <si>
    <t>CostesTotales</t>
  </si>
  <si>
    <t>RecursosHumanos+IVA</t>
  </si>
  <si>
    <t>Total</t>
  </si>
  <si>
    <t>Balance</t>
  </si>
  <si>
    <t>Beneficios</t>
  </si>
  <si>
    <t>Gastos</t>
  </si>
  <si>
    <t>Diferencia</t>
  </si>
  <si>
    <t>PostreSQL + PostGIS</t>
  </si>
  <si>
    <t>NoSQL (mongoDB)</t>
  </si>
  <si>
    <t xml:space="preserve">GCP </t>
  </si>
  <si>
    <t>Git</t>
  </si>
  <si>
    <t>Typescript</t>
  </si>
  <si>
    <t>React (front)</t>
  </si>
  <si>
    <t>Node.js (back)</t>
  </si>
  <si>
    <t>Cloud Run</t>
  </si>
  <si>
    <t>UX/UI</t>
  </si>
  <si>
    <t>Project Management</t>
  </si>
  <si>
    <t>Competencias cubiertas</t>
  </si>
  <si>
    <t>Security</t>
  </si>
  <si>
    <t>Data architect</t>
  </si>
  <si>
    <t>Nginx (apache2)</t>
  </si>
  <si>
    <t>Sofia Nimri</t>
  </si>
  <si>
    <t>DevOps</t>
  </si>
  <si>
    <t>Lucy Malone</t>
  </si>
  <si>
    <t>Hugo Castro</t>
  </si>
  <si>
    <t>Backend</t>
  </si>
  <si>
    <t>David Brown</t>
  </si>
  <si>
    <t>Marcos De Diego</t>
  </si>
  <si>
    <t>Marcos de Diego (ingeniero)</t>
  </si>
  <si>
    <t>Daniel Garcia (CTO)</t>
  </si>
  <si>
    <t>Gastos Recursos materiales</t>
  </si>
  <si>
    <t>Ordenadores portátiles</t>
  </si>
  <si>
    <t>Marketing</t>
  </si>
  <si>
    <t>Financion Externa</t>
  </si>
  <si>
    <t>AyudaRiesgos</t>
  </si>
  <si>
    <t>Costes de La financiacion</t>
  </si>
  <si>
    <t>AlquilerInstalaciones(11 meses)</t>
  </si>
  <si>
    <t>Amueblar</t>
  </si>
  <si>
    <t>FondosLocomocion</t>
  </si>
  <si>
    <t>LucyMalone(Aumento)</t>
  </si>
  <si>
    <t>DavidBrown(Aumento)</t>
  </si>
  <si>
    <t>DeDiego(Aumento)</t>
  </si>
  <si>
    <t>Futbolin+PingPong</t>
  </si>
  <si>
    <t>Riesgos</t>
  </si>
  <si>
    <t>GastosFinanciacion</t>
  </si>
  <si>
    <t>Aumento</t>
  </si>
  <si>
    <t>masMarketing</t>
  </si>
  <si>
    <t>Se considera que no es necesario un experto en Git al requerir conocimientos básicos sobre este tema</t>
  </si>
  <si>
    <t>La redundancia de FrontEnd viene orientado a suplir la falta de experto en UX/UI consiguiendo así conocimiento mínimos sobre este tema</t>
  </si>
  <si>
    <t>Realizará el cargo de FrontEnd Junior y estará a cargo de Sofia Nimri</t>
  </si>
  <si>
    <t>Ayudará con cuestiones de seguridad a Denise Balic y a Lucy Malone</t>
  </si>
  <si>
    <t>Recurso</t>
  </si>
  <si>
    <t>Gasto mensual</t>
  </si>
  <si>
    <t>Gasto anual</t>
  </si>
  <si>
    <t>Base de datos CloudSQL</t>
  </si>
  <si>
    <t>Caché Redis</t>
  </si>
  <si>
    <t>Backend (cloudrun)</t>
  </si>
  <si>
    <t>Places &amp; Geocoding APIs Google Maps</t>
  </si>
  <si>
    <t>Almacenamiento y Red</t>
  </si>
  <si>
    <t>Desarrollo competencias de los recursos humanos</t>
  </si>
  <si>
    <t>En la consideración de infraestructura final se desecha la idea del noSQL</t>
  </si>
  <si>
    <t>GastosFinanciacion (sin contar aumentos)</t>
  </si>
  <si>
    <t>Presupuesto riesgo</t>
  </si>
  <si>
    <t>Coste por área</t>
  </si>
  <si>
    <t>Cargos superiores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</si>
</sst>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u/>
      <sz val="11"/>
      <color theme="1"/>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5050"/>
        <bgColor indexed="64"/>
      </patternFill>
    </fill>
    <fill>
      <patternFill patternType="solid">
        <fgColor rgb="FFFAC2F6"/>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0" borderId="2" xfId="0" applyBorder="1"/>
    <xf numFmtId="0" fontId="0" fillId="0" borderId="0" xfId="0" applyAlignment="1">
      <alignment horizontal="center"/>
    </xf>
    <xf numFmtId="0" fontId="0" fillId="0" borderId="1" xfId="0" applyBorder="1" applyAlignment="1">
      <alignment horizontal="center"/>
    </xf>
    <xf numFmtId="0" fontId="2" fillId="0" borderId="0" xfId="0" applyFont="1"/>
    <xf numFmtId="0" fontId="1" fillId="0" borderId="2" xfId="0" applyFont="1" applyBorder="1"/>
    <xf numFmtId="0" fontId="0" fillId="4" borderId="1" xfId="0" applyFill="1" applyBorder="1"/>
    <xf numFmtId="0" fontId="0" fillId="5" borderId="1" xfId="0" applyFill="1" applyBorder="1"/>
    <xf numFmtId="0" fontId="0" fillId="2" borderId="1" xfId="0" applyFill="1" applyBorder="1"/>
    <xf numFmtId="0" fontId="0" fillId="6" borderId="1" xfId="0" applyFill="1" applyBorder="1"/>
    <xf numFmtId="0" fontId="1" fillId="0" borderId="1" xfId="0" applyFont="1" applyBorder="1"/>
    <xf numFmtId="0" fontId="0" fillId="7" borderId="1" xfId="0" applyFill="1" applyBorder="1"/>
    <xf numFmtId="0" fontId="0" fillId="8" borderId="1" xfId="0" applyFill="1" applyBorder="1"/>
    <xf numFmtId="0" fontId="0" fillId="4" borderId="1" xfId="0" applyFill="1" applyBorder="1" applyAlignment="1">
      <alignment horizontal="center"/>
    </xf>
    <xf numFmtId="0" fontId="0" fillId="2" borderId="1" xfId="0" applyFill="1" applyBorder="1" applyAlignment="1">
      <alignment horizontal="center"/>
    </xf>
    <xf numFmtId="0" fontId="0" fillId="5" borderId="1" xfId="0" applyFill="1"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0" borderId="0" xfId="0" applyAlignment="1">
      <alignment horizontal="left"/>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colors>
    <mruColors>
      <color rgb="FFCA95DF"/>
      <color rgb="FFFAC2F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fmlaLink="$D$27" lockText="1" noThreeD="1"/>
</file>

<file path=xl/ctrlProps/ctrlProp2.xml><?xml version="1.0" encoding="utf-8"?>
<formControlPr xmlns="http://schemas.microsoft.com/office/spreadsheetml/2009/9/main" objectType="CheckBox" fmlaLink="$F$27" lockText="1" noThreeD="1"/>
</file>

<file path=xl/ctrlProps/ctrlProp3.xml><?xml version="1.0" encoding="utf-8"?>
<formControlPr xmlns="http://schemas.microsoft.com/office/spreadsheetml/2009/9/main" objectType="CheckBox" fmlaLink="$G$27" lockText="1" noThreeD="1"/>
</file>

<file path=xl/ctrlProps/ctrlProp4.xml><?xml version="1.0" encoding="utf-8"?>
<formControlPr xmlns="http://schemas.microsoft.com/office/spreadsheetml/2009/9/main" objectType="CheckBox" fmlaLink="$H$27" lockText="1" noThreeD="1"/>
</file>

<file path=xl/ctrlProps/ctrlProp5.xml><?xml version="1.0" encoding="utf-8"?>
<formControlPr xmlns="http://schemas.microsoft.com/office/spreadsheetml/2009/9/main" objectType="CheckBox" fmlaLink="$I$27" lockText="1" noThreeD="1"/>
</file>

<file path=xl/ctrlProps/ctrlProp6.xml><?xml version="1.0" encoding="utf-8"?>
<formControlPr xmlns="http://schemas.microsoft.com/office/spreadsheetml/2009/9/main" objectType="CheckBox" fmlaLink="$J$27" lockText="1" noThreeD="1"/>
</file>

<file path=xl/ctrlProps/ctrlProp7.xml><?xml version="1.0" encoding="utf-8"?>
<formControlPr xmlns="http://schemas.microsoft.com/office/spreadsheetml/2009/9/main" objectType="CheckBox" fmlaLink="$K$27" lockText="1" noThreeD="1"/>
</file>

<file path=xl/ctrlProps/ctrlProp8.xml><?xml version="1.0" encoding="utf-8"?>
<formControlPr xmlns="http://schemas.microsoft.com/office/spreadsheetml/2009/9/main" objectType="CheckBox" fmlaLink="$D$28" lockText="1" noThreeD="1"/>
</file>

<file path=xl/ctrlProps/ctrlProp9.xml><?xml version="1.0" encoding="utf-8"?>
<formControlPr xmlns="http://schemas.microsoft.com/office/spreadsheetml/2009/9/main" objectType="CheckBox" fmlaLink="$D$29" lockText="1" noThreeD="1"/>
</file>

<file path=xl/ctrlProps/ctrlProp10.xml><?xml version="1.0" encoding="utf-8"?>
<formControlPr xmlns="http://schemas.microsoft.com/office/spreadsheetml/2009/9/main" objectType="CheckBox" checked="Checked" fmlaLink="$D$30" lockText="1" noThreeD="1"/>
</file>

<file path=xl/ctrlProps/ctrlProp11.xml><?xml version="1.0" encoding="utf-8"?>
<formControlPr xmlns="http://schemas.microsoft.com/office/spreadsheetml/2009/9/main" objectType="CheckBox" checked="Checked" fmlaLink="$D$31" lockText="1" noThreeD="1"/>
</file>

<file path=xl/ctrlProps/ctrlProp12.xml><?xml version="1.0" encoding="utf-8"?>
<formControlPr xmlns="http://schemas.microsoft.com/office/spreadsheetml/2009/9/main" objectType="CheckBox" fmlaLink="$D$32" lockText="1" noThreeD="1"/>
</file>

<file path=xl/ctrlProps/ctrlProp13.xml><?xml version="1.0" encoding="utf-8"?>
<formControlPr xmlns="http://schemas.microsoft.com/office/spreadsheetml/2009/9/main" objectType="CheckBox" fmlaLink="$D$33" lockText="1" noThreeD="1"/>
</file>

<file path=xl/ctrlProps/ctrlProp14.xml><?xml version="1.0" encoding="utf-8"?>
<formControlPr xmlns="http://schemas.microsoft.com/office/spreadsheetml/2009/9/main" objectType="CheckBox" fmlaLink="$D$34" lockText="1" noThreeD="1"/>
</file>

<file path=xl/ctrlProps/ctrlProp15.xml><?xml version="1.0" encoding="utf-8"?>
<formControlPr xmlns="http://schemas.microsoft.com/office/spreadsheetml/2009/9/main" objectType="CheckBox" fmlaLink="$D$35" lockText="1" noThreeD="1"/>
</file>

<file path=xl/ctrlProps/ctrlProp16.xml><?xml version="1.0" encoding="utf-8"?>
<formControlPr xmlns="http://schemas.microsoft.com/office/spreadsheetml/2009/9/main" objectType="CheckBox" checked="Checked" fmlaLink="$D$36" lockText="1" noThreeD="1"/>
</file>

<file path=xl/ctrlProps/ctrlProp17.xml><?xml version="1.0" encoding="utf-8"?>
<formControlPr xmlns="http://schemas.microsoft.com/office/spreadsheetml/2009/9/main" objectType="CheckBox" fmlaLink="$D$37" lockText="1" noThreeD="1"/>
</file>

<file path=xl/ctrlProps/ctrlProp18.xml><?xml version="1.0" encoding="utf-8"?>
<formControlPr xmlns="http://schemas.microsoft.com/office/spreadsheetml/2009/9/main" objectType="CheckBox" fmlaLink="$D$38" lockText="1" noThreeD="1"/>
</file>

<file path=xl/ctrlProps/ctrlProp19.xml><?xml version="1.0" encoding="utf-8"?>
<formControlPr xmlns="http://schemas.microsoft.com/office/spreadsheetml/2009/9/main" objectType="CheckBox" fmlaLink="$D$26" lockText="1" noThreeD="1"/>
</file>

<file path=xl/ctrlProps/ctrlProp20.xml><?xml version="1.0" encoding="utf-8"?>
<formControlPr xmlns="http://schemas.microsoft.com/office/spreadsheetml/2009/9/main" objectType="CheckBox" checked="Checked" fmlaLink="$E$26" lockText="1" noThreeD="1"/>
</file>

<file path=xl/ctrlProps/ctrlProp21.xml><?xml version="1.0" encoding="utf-8"?>
<formControlPr xmlns="http://schemas.microsoft.com/office/spreadsheetml/2009/9/main" objectType="CheckBox" fmlaLink="$F$26" lockText="1" noThreeD="1"/>
</file>

<file path=xl/ctrlProps/ctrlProp22.xml><?xml version="1.0" encoding="utf-8"?>
<formControlPr xmlns="http://schemas.microsoft.com/office/spreadsheetml/2009/9/main" objectType="CheckBox" fmlaLink="$G$26" lockText="1" noThreeD="1"/>
</file>

<file path=xl/ctrlProps/ctrlProp23.xml><?xml version="1.0" encoding="utf-8"?>
<formControlPr xmlns="http://schemas.microsoft.com/office/spreadsheetml/2009/9/main" objectType="CheckBox" checked="Checked" fmlaLink="$H$26" lockText="1" noThreeD="1"/>
</file>

<file path=xl/ctrlProps/ctrlProp24.xml><?xml version="1.0" encoding="utf-8"?>
<formControlPr xmlns="http://schemas.microsoft.com/office/spreadsheetml/2009/9/main" objectType="CheckBox" fmlaLink="$I$26" lockText="1" noThreeD="1"/>
</file>

<file path=xl/ctrlProps/ctrlProp25.xml><?xml version="1.0" encoding="utf-8"?>
<formControlPr xmlns="http://schemas.microsoft.com/office/spreadsheetml/2009/9/main" objectType="CheckBox" fmlaLink="$J$26" lockText="1" noThreeD="1"/>
</file>

<file path=xl/ctrlProps/ctrlProp26.xml><?xml version="1.0" encoding="utf-8"?>
<formControlPr xmlns="http://schemas.microsoft.com/office/spreadsheetml/2009/9/main" objectType="CheckBox" fmlaLink="$K$26" lockText="1" noThreeD="1"/>
</file>

<file path=xl/ctrlProps/ctrlProp27.xml><?xml version="1.0" encoding="utf-8"?>
<formControlPr xmlns="http://schemas.microsoft.com/office/spreadsheetml/2009/9/main" objectType="CheckBox" fmlaLink="$E$27" lockText="1" noThreeD="1"/>
</file>

<file path=xl/ctrlProps/ctrlProp28.xml><?xml version="1.0" encoding="utf-8"?>
<formControlPr xmlns="http://schemas.microsoft.com/office/spreadsheetml/2009/9/main" objectType="CheckBox" fmlaLink="$E$28" lockText="1" noThreeD="1"/>
</file>

<file path=xl/ctrlProps/ctrlProp29.xml><?xml version="1.0" encoding="utf-8"?>
<formControlPr xmlns="http://schemas.microsoft.com/office/spreadsheetml/2009/9/main" objectType="CheckBox" fmlaLink="$E$29" lockText="1" noThreeD="1"/>
</file>

<file path=xl/ctrlProps/ctrlProp30.xml><?xml version="1.0" encoding="utf-8"?>
<formControlPr xmlns="http://schemas.microsoft.com/office/spreadsheetml/2009/9/main" objectType="CheckBox" fmlaLink="$E$30" lockText="1" noThreeD="1"/>
</file>

<file path=xl/ctrlProps/ctrlProp31.xml><?xml version="1.0" encoding="utf-8"?>
<formControlPr xmlns="http://schemas.microsoft.com/office/spreadsheetml/2009/9/main" objectType="CheckBox" fmlaLink="$E$31" lockText="1" noThreeD="1"/>
</file>

<file path=xl/ctrlProps/ctrlProp32.xml><?xml version="1.0" encoding="utf-8"?>
<formControlPr xmlns="http://schemas.microsoft.com/office/spreadsheetml/2009/9/main" objectType="CheckBox" fmlaLink="$E$32" lockText="1" noThreeD="1"/>
</file>

<file path=xl/ctrlProps/ctrlProp33.xml><?xml version="1.0" encoding="utf-8"?>
<formControlPr xmlns="http://schemas.microsoft.com/office/spreadsheetml/2009/9/main" objectType="CheckBox" fmlaLink="$E$33" lockText="1" noThreeD="1"/>
</file>

<file path=xl/ctrlProps/ctrlProp34.xml><?xml version="1.0" encoding="utf-8"?>
<formControlPr xmlns="http://schemas.microsoft.com/office/spreadsheetml/2009/9/main" objectType="CheckBox" fmlaLink="$E$34" lockText="1" noThreeD="1"/>
</file>

<file path=xl/ctrlProps/ctrlProp35.xml><?xml version="1.0" encoding="utf-8"?>
<formControlPr xmlns="http://schemas.microsoft.com/office/spreadsheetml/2009/9/main" objectType="CheckBox" fmlaLink="$E$35" lockText="1" noThreeD="1"/>
</file>

<file path=xl/ctrlProps/ctrlProp36.xml><?xml version="1.0" encoding="utf-8"?>
<formControlPr xmlns="http://schemas.microsoft.com/office/spreadsheetml/2009/9/main" objectType="CheckBox" fmlaLink="$E$36" lockText="1" noThreeD="1"/>
</file>

<file path=xl/ctrlProps/ctrlProp37.xml><?xml version="1.0" encoding="utf-8"?>
<formControlPr xmlns="http://schemas.microsoft.com/office/spreadsheetml/2009/9/main" objectType="CheckBox" checked="Checked" fmlaLink="$E$37" lockText="1" noThreeD="1"/>
</file>

<file path=xl/ctrlProps/ctrlProp38.xml><?xml version="1.0" encoding="utf-8"?>
<formControlPr xmlns="http://schemas.microsoft.com/office/spreadsheetml/2009/9/main" objectType="CheckBox" checked="Checked" fmlaLink="$E$38" lockText="1" noThreeD="1"/>
</file>

<file path=xl/ctrlProps/ctrlProp39.xml><?xml version="1.0" encoding="utf-8"?>
<formControlPr xmlns="http://schemas.microsoft.com/office/spreadsheetml/2009/9/main" objectType="CheckBox" checked="Checked" fmlaLink="$F$28" lockText="1" noThreeD="1"/>
</file>

<file path=xl/ctrlProps/ctrlProp40.xml><?xml version="1.0" encoding="utf-8"?>
<formControlPr xmlns="http://schemas.microsoft.com/office/spreadsheetml/2009/9/main" objectType="CheckBox" fmlaLink="$F$29" lockText="1" noThreeD="1"/>
</file>

<file path=xl/ctrlProps/ctrlProp41.xml><?xml version="1.0" encoding="utf-8"?>
<formControlPr xmlns="http://schemas.microsoft.com/office/spreadsheetml/2009/9/main" objectType="CheckBox" fmlaLink="$F$30" lockText="1" noThreeD="1"/>
</file>

<file path=xl/ctrlProps/ctrlProp42.xml><?xml version="1.0" encoding="utf-8"?>
<formControlPr xmlns="http://schemas.microsoft.com/office/spreadsheetml/2009/9/main" objectType="CheckBox" fmlaLink="$F$31" lockText="1" noThreeD="1"/>
</file>

<file path=xl/ctrlProps/ctrlProp43.xml><?xml version="1.0" encoding="utf-8"?>
<formControlPr xmlns="http://schemas.microsoft.com/office/spreadsheetml/2009/9/main" objectType="CheckBox" fmlaLink="$F$32" lockText="1" noThreeD="1"/>
</file>

<file path=xl/ctrlProps/ctrlProp44.xml><?xml version="1.0" encoding="utf-8"?>
<formControlPr xmlns="http://schemas.microsoft.com/office/spreadsheetml/2009/9/main" objectType="CheckBox" checked="Checked" fmlaLink="$F$33" lockText="1" noThreeD="1"/>
</file>

<file path=xl/ctrlProps/ctrlProp45.xml><?xml version="1.0" encoding="utf-8"?>
<formControlPr xmlns="http://schemas.microsoft.com/office/spreadsheetml/2009/9/main" objectType="CheckBox" checked="Checked" fmlaLink="$F$34" lockText="1" noThreeD="1"/>
</file>

<file path=xl/ctrlProps/ctrlProp46.xml><?xml version="1.0" encoding="utf-8"?>
<formControlPr xmlns="http://schemas.microsoft.com/office/spreadsheetml/2009/9/main" objectType="CheckBox" fmlaLink="$F$35" lockText="1" noThreeD="1"/>
</file>

<file path=xl/ctrlProps/ctrlProp47.xml><?xml version="1.0" encoding="utf-8"?>
<formControlPr xmlns="http://schemas.microsoft.com/office/spreadsheetml/2009/9/main" objectType="CheckBox" fmlaLink="$F$36" lockText="1" noThreeD="1"/>
</file>

<file path=xl/ctrlProps/ctrlProp48.xml><?xml version="1.0" encoding="utf-8"?>
<formControlPr xmlns="http://schemas.microsoft.com/office/spreadsheetml/2009/9/main" objectType="CheckBox" checked="Checked" fmlaLink="$F$37" lockText="1" noThreeD="1"/>
</file>

<file path=xl/ctrlProps/ctrlProp49.xml><?xml version="1.0" encoding="utf-8"?>
<formControlPr xmlns="http://schemas.microsoft.com/office/spreadsheetml/2009/9/main" objectType="CheckBox" fmlaLink="$F$38" lockText="1" noThreeD="1"/>
</file>

<file path=xl/ctrlProps/ctrlProp50.xml><?xml version="1.0" encoding="utf-8"?>
<formControlPr xmlns="http://schemas.microsoft.com/office/spreadsheetml/2009/9/main" objectType="CheckBox" fmlaLink="$G$28" lockText="1" noThreeD="1"/>
</file>

<file path=xl/ctrlProps/ctrlProp51.xml><?xml version="1.0" encoding="utf-8"?>
<formControlPr xmlns="http://schemas.microsoft.com/office/spreadsheetml/2009/9/main" objectType="CheckBox" fmlaLink="$G$29" lockText="1" noThreeD="1"/>
</file>

<file path=xl/ctrlProps/ctrlProp52.xml><?xml version="1.0" encoding="utf-8"?>
<formControlPr xmlns="http://schemas.microsoft.com/office/spreadsheetml/2009/9/main" objectType="CheckBox" fmlaLink="$G$30" lockText="1" noThreeD="1"/>
</file>

<file path=xl/ctrlProps/ctrlProp53.xml><?xml version="1.0" encoding="utf-8"?>
<formControlPr xmlns="http://schemas.microsoft.com/office/spreadsheetml/2009/9/main" objectType="CheckBox" fmlaLink="$G$31" lockText="1" noThreeD="1"/>
</file>

<file path=xl/ctrlProps/ctrlProp54.xml><?xml version="1.0" encoding="utf-8"?>
<formControlPr xmlns="http://schemas.microsoft.com/office/spreadsheetml/2009/9/main" objectType="CheckBox" checked="Checked" fmlaLink="$G$32" lockText="1" noThreeD="1"/>
</file>

<file path=xl/ctrlProps/ctrlProp55.xml><?xml version="1.0" encoding="utf-8"?>
<formControlPr xmlns="http://schemas.microsoft.com/office/spreadsheetml/2009/9/main" objectType="CheckBox" fmlaLink="$G$33" lockText="1" noThreeD="1"/>
</file>

<file path=xl/ctrlProps/ctrlProp56.xml><?xml version="1.0" encoding="utf-8"?>
<formControlPr xmlns="http://schemas.microsoft.com/office/spreadsheetml/2009/9/main" objectType="CheckBox" fmlaLink="$G$34" lockText="1" noThreeD="1"/>
</file>

<file path=xl/ctrlProps/ctrlProp57.xml><?xml version="1.0" encoding="utf-8"?>
<formControlPr xmlns="http://schemas.microsoft.com/office/spreadsheetml/2009/9/main" objectType="CheckBox" fmlaLink="$G$35" lockText="1" noThreeD="1"/>
</file>

<file path=xl/ctrlProps/ctrlProp58.xml><?xml version="1.0" encoding="utf-8"?>
<formControlPr xmlns="http://schemas.microsoft.com/office/spreadsheetml/2009/9/main" objectType="CheckBox" fmlaLink="$G$36" lockText="1" noThreeD="1"/>
</file>

<file path=xl/ctrlProps/ctrlProp59.xml><?xml version="1.0" encoding="utf-8"?>
<formControlPr xmlns="http://schemas.microsoft.com/office/spreadsheetml/2009/9/main" objectType="CheckBox" fmlaLink="$G$37" lockText="1" noThreeD="1"/>
</file>

<file path=xl/ctrlProps/ctrlProp60.xml><?xml version="1.0" encoding="utf-8"?>
<formControlPr xmlns="http://schemas.microsoft.com/office/spreadsheetml/2009/9/main" objectType="CheckBox" fmlaLink="$G$38" lockText="1" noThreeD="1"/>
</file>

<file path=xl/ctrlProps/ctrlProp61.xml><?xml version="1.0" encoding="utf-8"?>
<formControlPr xmlns="http://schemas.microsoft.com/office/spreadsheetml/2009/9/main" objectType="CheckBox" fmlaLink="$H$28" lockText="1" noThreeD="1"/>
</file>

<file path=xl/ctrlProps/ctrlProp62.xml><?xml version="1.0" encoding="utf-8"?>
<formControlPr xmlns="http://schemas.microsoft.com/office/spreadsheetml/2009/9/main" objectType="CheckBox" fmlaLink="$I$28" lockText="1" noThreeD="1"/>
</file>

<file path=xl/ctrlProps/ctrlProp63.xml><?xml version="1.0" encoding="utf-8"?>
<formControlPr xmlns="http://schemas.microsoft.com/office/spreadsheetml/2009/9/main" objectType="CheckBox" fmlaLink="$H$29" lockText="1" noThreeD="1"/>
</file>

<file path=xl/ctrlProps/ctrlProp64.xml><?xml version="1.0" encoding="utf-8"?>
<formControlPr xmlns="http://schemas.microsoft.com/office/spreadsheetml/2009/9/main" objectType="CheckBox" fmlaLink="$I$29" lockText="1" noThreeD="1"/>
</file>

<file path=xl/ctrlProps/ctrlProp65.xml><?xml version="1.0" encoding="utf-8"?>
<formControlPr xmlns="http://schemas.microsoft.com/office/spreadsheetml/2009/9/main" objectType="CheckBox" checked="Checked" fmlaLink="$H$30" lockText="1" noThreeD="1"/>
</file>

<file path=xl/ctrlProps/ctrlProp66.xml><?xml version="1.0" encoding="utf-8"?>
<formControlPr xmlns="http://schemas.microsoft.com/office/spreadsheetml/2009/9/main" objectType="CheckBox" fmlaLink="$I$30" lockText="1" noThreeD="1"/>
</file>

<file path=xl/ctrlProps/ctrlProp67.xml><?xml version="1.0" encoding="utf-8"?>
<formControlPr xmlns="http://schemas.microsoft.com/office/spreadsheetml/2009/9/main" objectType="CheckBox" fmlaLink="$H$31" lockText="1" noThreeD="1"/>
</file>

<file path=xl/ctrlProps/ctrlProp68.xml><?xml version="1.0" encoding="utf-8"?>
<formControlPr xmlns="http://schemas.microsoft.com/office/spreadsheetml/2009/9/main" objectType="CheckBox" checked="Checked" fmlaLink="$I$31" lockText="1" noThreeD="1"/>
</file>

<file path=xl/ctrlProps/ctrlProp69.xml><?xml version="1.0" encoding="utf-8"?>
<formControlPr xmlns="http://schemas.microsoft.com/office/spreadsheetml/2009/9/main" objectType="CheckBox" checked="Checked" fmlaLink="$H$32" lockText="1" noThreeD="1"/>
</file>

<file path=xl/ctrlProps/ctrlProp70.xml><?xml version="1.0" encoding="utf-8"?>
<formControlPr xmlns="http://schemas.microsoft.com/office/spreadsheetml/2009/9/main" objectType="CheckBox" fmlaLink="$I$32" lockText="1" noThreeD="1"/>
</file>

<file path=xl/ctrlProps/ctrlProp71.xml><?xml version="1.0" encoding="utf-8"?>
<formControlPr xmlns="http://schemas.microsoft.com/office/spreadsheetml/2009/9/main" objectType="CheckBox" fmlaLink="$H$33" lockText="1" noThreeD="1"/>
</file>

<file path=xl/ctrlProps/ctrlProp72.xml><?xml version="1.0" encoding="utf-8"?>
<formControlPr xmlns="http://schemas.microsoft.com/office/spreadsheetml/2009/9/main" objectType="CheckBox" fmlaLink="$I$33" lockText="1" noThreeD="1"/>
</file>

<file path=xl/ctrlProps/ctrlProp73.xml><?xml version="1.0" encoding="utf-8"?>
<formControlPr xmlns="http://schemas.microsoft.com/office/spreadsheetml/2009/9/main" objectType="CheckBox" fmlaLink="$H$34" lockText="1" noThreeD="1"/>
</file>

<file path=xl/ctrlProps/ctrlProp74.xml><?xml version="1.0" encoding="utf-8"?>
<formControlPr xmlns="http://schemas.microsoft.com/office/spreadsheetml/2009/9/main" objectType="CheckBox" fmlaLink="$I$34" lockText="1" noThreeD="1"/>
</file>

<file path=xl/ctrlProps/ctrlProp75.xml><?xml version="1.0" encoding="utf-8"?>
<formControlPr xmlns="http://schemas.microsoft.com/office/spreadsheetml/2009/9/main" objectType="CheckBox" fmlaLink="$H$35" lockText="1" noThreeD="1"/>
</file>

<file path=xl/ctrlProps/ctrlProp76.xml><?xml version="1.0" encoding="utf-8"?>
<formControlPr xmlns="http://schemas.microsoft.com/office/spreadsheetml/2009/9/main" objectType="CheckBox" fmlaLink="$I$35" lockText="1" noThreeD="1"/>
</file>

<file path=xl/ctrlProps/ctrlProp77.xml><?xml version="1.0" encoding="utf-8"?>
<formControlPr xmlns="http://schemas.microsoft.com/office/spreadsheetml/2009/9/main" objectType="CheckBox" checked="Checked" fmlaLink="$H$36" lockText="1" noThreeD="1"/>
</file>

<file path=xl/ctrlProps/ctrlProp78.xml><?xml version="1.0" encoding="utf-8"?>
<formControlPr xmlns="http://schemas.microsoft.com/office/spreadsheetml/2009/9/main" objectType="CheckBox" fmlaLink="$I$36" lockText="1" noThreeD="1"/>
</file>

<file path=xl/ctrlProps/ctrlProp79.xml><?xml version="1.0" encoding="utf-8"?>
<formControlPr xmlns="http://schemas.microsoft.com/office/spreadsheetml/2009/9/main" objectType="CheckBox" fmlaLink="$H$37" lockText="1" noThreeD="1"/>
</file>

<file path=xl/ctrlProps/ctrlProp80.xml><?xml version="1.0" encoding="utf-8"?>
<formControlPr xmlns="http://schemas.microsoft.com/office/spreadsheetml/2009/9/main" objectType="CheckBox" fmlaLink="$I$37" lockText="1" noThreeD="1"/>
</file>

<file path=xl/ctrlProps/ctrlProp81.xml><?xml version="1.0" encoding="utf-8"?>
<formControlPr xmlns="http://schemas.microsoft.com/office/spreadsheetml/2009/9/main" objectType="CheckBox" checked="Checked" fmlaLink="$H$38" lockText="1" noThreeD="1"/>
</file>

<file path=xl/ctrlProps/ctrlProp82.xml><?xml version="1.0" encoding="utf-8"?>
<formControlPr xmlns="http://schemas.microsoft.com/office/spreadsheetml/2009/9/main" objectType="CheckBox" fmlaLink="$I$38" lockText="1" noThreeD="1"/>
</file>

<file path=xl/ctrlProps/ctrlProp83.xml><?xml version="1.0" encoding="utf-8"?>
<formControlPr xmlns="http://schemas.microsoft.com/office/spreadsheetml/2009/9/main" objectType="CheckBox" fmlaLink="$J$28" lockText="1" noThreeD="1"/>
</file>

<file path=xl/ctrlProps/ctrlProp84.xml><?xml version="1.0" encoding="utf-8"?>
<formControlPr xmlns="http://schemas.microsoft.com/office/spreadsheetml/2009/9/main" objectType="CheckBox" fmlaLink="$J$29" lockText="1" noThreeD="1"/>
</file>

<file path=xl/ctrlProps/ctrlProp85.xml><?xml version="1.0" encoding="utf-8"?>
<formControlPr xmlns="http://schemas.microsoft.com/office/spreadsheetml/2009/9/main" objectType="CheckBox" fmlaLink="$J$30" lockText="1" noThreeD="1"/>
</file>

<file path=xl/ctrlProps/ctrlProp86.xml><?xml version="1.0" encoding="utf-8"?>
<formControlPr xmlns="http://schemas.microsoft.com/office/spreadsheetml/2009/9/main" objectType="CheckBox" fmlaLink="$J$31" lockText="1" noThreeD="1"/>
</file>

<file path=xl/ctrlProps/ctrlProp87.xml><?xml version="1.0" encoding="utf-8"?>
<formControlPr xmlns="http://schemas.microsoft.com/office/spreadsheetml/2009/9/main" objectType="CheckBox" fmlaLink="$J$32" lockText="1" noThreeD="1"/>
</file>

<file path=xl/ctrlProps/ctrlProp88.xml><?xml version="1.0" encoding="utf-8"?>
<formControlPr xmlns="http://schemas.microsoft.com/office/spreadsheetml/2009/9/main" objectType="CheckBox" fmlaLink="$J$33" lockText="1" noThreeD="1"/>
</file>

<file path=xl/ctrlProps/ctrlProp89.xml><?xml version="1.0" encoding="utf-8"?>
<formControlPr xmlns="http://schemas.microsoft.com/office/spreadsheetml/2009/9/main" objectType="CheckBox" fmlaLink="$J$34" lockText="1" noThreeD="1"/>
</file>

<file path=xl/ctrlProps/ctrlProp90.xml><?xml version="1.0" encoding="utf-8"?>
<formControlPr xmlns="http://schemas.microsoft.com/office/spreadsheetml/2009/9/main" objectType="CheckBox" fmlaLink="$J$35" lockText="1" noThreeD="1"/>
</file>

<file path=xl/ctrlProps/ctrlProp91.xml><?xml version="1.0" encoding="utf-8"?>
<formControlPr xmlns="http://schemas.microsoft.com/office/spreadsheetml/2009/9/main" objectType="CheckBox" fmlaLink="$J$36" lockText="1" noThreeD="1"/>
</file>

<file path=xl/ctrlProps/ctrlProp92.xml><?xml version="1.0" encoding="utf-8"?>
<formControlPr xmlns="http://schemas.microsoft.com/office/spreadsheetml/2009/9/main" objectType="CheckBox" checked="Checked" fmlaLink="$J$37" lockText="1" noThreeD="1"/>
</file>

<file path=xl/ctrlProps/ctrlProp93.xml><?xml version="1.0" encoding="utf-8"?>
<formControlPr xmlns="http://schemas.microsoft.com/office/spreadsheetml/2009/9/main" objectType="CheckBox" fmlaLink="$J$38" lockText="1" noThreeD="1"/>
</file>

<file path=xl/ctrlProps/ctrlProp94.xml><?xml version="1.0" encoding="utf-8"?>
<formControlPr xmlns="http://schemas.microsoft.com/office/spreadsheetml/2009/9/main" objectType="CheckBox" fmlaLink="$K$28" lockText="1" noThreeD="1"/>
</file>

<file path=xl/ctrlProps/ctrlProp95.xml><?xml version="1.0" encoding="utf-8"?>
<formControlPr xmlns="http://schemas.microsoft.com/office/spreadsheetml/2009/9/main" objectType="CheckBox" fmlaLink="$K$29" lockText="1" noThreeD="1"/>
</file>

<file path=xl/ctrlProps/ctrlProp96.xml><?xml version="1.0" encoding="utf-8"?>
<formControlPr xmlns="http://schemas.microsoft.com/office/spreadsheetml/2009/9/main" objectType="CheckBox" fmlaLink="$K$30" lockText="1" noThreeD="1"/>
</file>

<file path=xl/ctrlProps/ctrlProp97.xml><?xml version="1.0" encoding="utf-8"?>
<formControlPr xmlns="http://schemas.microsoft.com/office/spreadsheetml/2009/9/main" objectType="CheckBox" fmlaLink="$K$31" lockText="1" noThreeD="1"/>
</file>

<file path=xl/ctrlProps/ctrlProp98.xml><?xml version="1.0" encoding="utf-8"?>
<formControlPr xmlns="http://schemas.microsoft.com/office/spreadsheetml/2009/9/main" objectType="CheckBox" fmlaLink="$K$32" lockText="1" noThreeD="1"/>
</file>

<file path=xl/ctrlProps/ctrlProp99.xml><?xml version="1.0" encoding="utf-8"?>
<formControlPr xmlns="http://schemas.microsoft.com/office/spreadsheetml/2009/9/main" objectType="CheckBox" fmlaLink="$K$33" lockText="1" noThreeD="1"/>
</file>

<file path=xl/ctrlProps/ctrlProp100.xml><?xml version="1.0" encoding="utf-8"?>
<formControlPr xmlns="http://schemas.microsoft.com/office/spreadsheetml/2009/9/main" objectType="CheckBox" fmlaLink="$K$34" lockText="1" noThreeD="1"/>
</file>

<file path=xl/ctrlProps/ctrlProp101.xml><?xml version="1.0" encoding="utf-8"?>
<formControlPr xmlns="http://schemas.microsoft.com/office/spreadsheetml/2009/9/main" objectType="CheckBox" fmlaLink="$K$35" lockText="1" noThreeD="1"/>
</file>

<file path=xl/ctrlProps/ctrlProp102.xml><?xml version="1.0" encoding="utf-8"?>
<formControlPr xmlns="http://schemas.microsoft.com/office/spreadsheetml/2009/9/main" objectType="CheckBox" fmlaLink="$K$36" lockText="1" noThreeD="1"/>
</file>

<file path=xl/ctrlProps/ctrlProp103.xml><?xml version="1.0" encoding="utf-8"?>
<formControlPr xmlns="http://schemas.microsoft.com/office/spreadsheetml/2009/9/main" objectType="CheckBox" fmlaLink="$K$37" lockText="1" noThreeD="1"/>
</file>

<file path=xl/ctrlProps/ctrlProp104.xml><?xml version="1.0" encoding="utf-8"?>
<formControlPr xmlns="http://schemas.microsoft.com/office/spreadsheetml/2009/9/main" objectType="CheckBox" fmlaLink="$K$38" lockText="1" noThreeD="1"/>
</file>

<file path=xl/ctrlProps/ctrlProp105.xml><?xml version="1.0" encoding="utf-8"?>
<formControlPr xmlns="http://schemas.microsoft.com/office/spreadsheetml/2009/9/main" objectType="CheckBox" checked="Checked" fmlaLink="$L$26" lockText="1" noThreeD="1"/>
</file>

<file path=xl/ctrlProps/ctrlProp106.xml><?xml version="1.0" encoding="utf-8"?>
<formControlPr xmlns="http://schemas.microsoft.com/office/spreadsheetml/2009/9/main" objectType="CheckBox" checked="Checked" fmlaLink="$L$27" lockText="1" noThreeD="1"/>
</file>

<file path=xl/ctrlProps/ctrlProp107.xml><?xml version="1.0" encoding="utf-8"?>
<formControlPr xmlns="http://schemas.microsoft.com/office/spreadsheetml/2009/9/main" objectType="CheckBox" checked="Checked" fmlaLink="$L$28" lockText="1" noThreeD="1"/>
</file>

<file path=xl/ctrlProps/ctrlProp108.xml><?xml version="1.0" encoding="utf-8"?>
<formControlPr xmlns="http://schemas.microsoft.com/office/spreadsheetml/2009/9/main" objectType="CheckBox" checked="Checked" fmlaLink="$L$29" lockText="1" noThreeD="1"/>
</file>

<file path=xl/ctrlProps/ctrlProp109.xml><?xml version="1.0" encoding="utf-8"?>
<formControlPr xmlns="http://schemas.microsoft.com/office/spreadsheetml/2009/9/main" objectType="CheckBox" checked="Checked" fmlaLink="$L$30" lockText="1" noThreeD="1"/>
</file>

<file path=xl/ctrlProps/ctrlProp110.xml><?xml version="1.0" encoding="utf-8"?>
<formControlPr xmlns="http://schemas.microsoft.com/office/spreadsheetml/2009/9/main" objectType="CheckBox" checked="Checked" fmlaLink="$L$31" lockText="1" noThreeD="1"/>
</file>

<file path=xl/ctrlProps/ctrlProp111.xml><?xml version="1.0" encoding="utf-8"?>
<formControlPr xmlns="http://schemas.microsoft.com/office/spreadsheetml/2009/9/main" objectType="CheckBox" checked="Checked" fmlaLink="$L$32" lockText="1" noThreeD="1"/>
</file>

<file path=xl/ctrlProps/ctrlProp112.xml><?xml version="1.0" encoding="utf-8"?>
<formControlPr xmlns="http://schemas.microsoft.com/office/spreadsheetml/2009/9/main" objectType="CheckBox" checked="Checked" fmlaLink="$L$33" lockText="1" noThreeD="1"/>
</file>

<file path=xl/ctrlProps/ctrlProp113.xml><?xml version="1.0" encoding="utf-8"?>
<formControlPr xmlns="http://schemas.microsoft.com/office/spreadsheetml/2009/9/main" objectType="CheckBox" checked="Checked" fmlaLink="$L$34" lockText="1" noThreeD="1"/>
</file>

<file path=xl/ctrlProps/ctrlProp114.xml><?xml version="1.0" encoding="utf-8"?>
<formControlPr xmlns="http://schemas.microsoft.com/office/spreadsheetml/2009/9/main" objectType="CheckBox" checked="Checked" fmlaLink="$L$35" lockText="1" noThreeD="1"/>
</file>

<file path=xl/ctrlProps/ctrlProp115.xml><?xml version="1.0" encoding="utf-8"?>
<formControlPr xmlns="http://schemas.microsoft.com/office/spreadsheetml/2009/9/main" objectType="CheckBox" checked="Checked" fmlaLink="$L$36" lockText="1" noThreeD="1"/>
</file>

<file path=xl/ctrlProps/ctrlProp116.xml><?xml version="1.0" encoding="utf-8"?>
<formControlPr xmlns="http://schemas.microsoft.com/office/spreadsheetml/2009/9/main" objectType="CheckBox" checked="Checked" fmlaLink="$L$37" lockText="1" noThreeD="1"/>
</file>

<file path=xl/ctrlProps/ctrlProp117.xml><?xml version="1.0" encoding="utf-8"?>
<formControlPr xmlns="http://schemas.microsoft.com/office/spreadsheetml/2009/9/main" objectType="CheckBox" checked="Checked" fmlaLink="$L$38" lockText="1" noThreeD="1"/>
</file>

<file path=xl/ctrlProps/ctrlProp118.xml><?xml version="1.0" encoding="utf-8"?>
<formControlPr xmlns="http://schemas.microsoft.com/office/spreadsheetml/2009/9/main" objectType="CheckBox" checked="Checked" fmlaLink="$L$27" lockText="1" noThreeD="1"/>
</file>

<file path=xl/ctrlProps/ctrlProp119.xml><?xml version="1.0" encoding="utf-8"?>
<formControlPr xmlns="http://schemas.microsoft.com/office/spreadsheetml/2009/9/main" objectType="CheckBox" checked="Checked" fmlaLink="$L$28" lockText="1" noThreeD="1"/>
</file>

<file path=xl/ctrlProps/ctrlProp120.xml><?xml version="1.0" encoding="utf-8"?>
<formControlPr xmlns="http://schemas.microsoft.com/office/spreadsheetml/2009/9/main" objectType="CheckBox" checked="Checked" fmlaLink="$L$29" lockText="1" noThreeD="1"/>
</file>

<file path=xl/ctrlProps/ctrlProp121.xml><?xml version="1.0" encoding="utf-8"?>
<formControlPr xmlns="http://schemas.microsoft.com/office/spreadsheetml/2009/9/main" objectType="CheckBox" checked="Checked" fmlaLink="$L$30" lockText="1" noThreeD="1"/>
</file>

<file path=xl/ctrlProps/ctrlProp122.xml><?xml version="1.0" encoding="utf-8"?>
<formControlPr xmlns="http://schemas.microsoft.com/office/spreadsheetml/2009/9/main" objectType="CheckBox" checked="Checked" fmlaLink="$L$31" lockText="1" noThreeD="1"/>
</file>

<file path=xl/ctrlProps/ctrlProp123.xml><?xml version="1.0" encoding="utf-8"?>
<formControlPr xmlns="http://schemas.microsoft.com/office/spreadsheetml/2009/9/main" objectType="CheckBox" checked="Checked" fmlaLink="$L$32" lockText="1" noThreeD="1"/>
</file>

<file path=xl/ctrlProps/ctrlProp124.xml><?xml version="1.0" encoding="utf-8"?>
<formControlPr xmlns="http://schemas.microsoft.com/office/spreadsheetml/2009/9/main" objectType="CheckBox" checked="Checked" fmlaLink="$L$33" lockText="1" noThreeD="1"/>
</file>

<file path=xl/ctrlProps/ctrlProp125.xml><?xml version="1.0" encoding="utf-8"?>
<formControlPr xmlns="http://schemas.microsoft.com/office/spreadsheetml/2009/9/main" objectType="CheckBox" checked="Checked" fmlaLink="$L$34" lockText="1" noThreeD="1"/>
</file>

<file path=xl/ctrlProps/ctrlProp126.xml><?xml version="1.0" encoding="utf-8"?>
<formControlPr xmlns="http://schemas.microsoft.com/office/spreadsheetml/2009/9/main" objectType="CheckBox" checked="Checked" fmlaLink="$L$35" lockText="1" noThreeD="1"/>
</file>

<file path=xl/ctrlProps/ctrlProp127.xml><?xml version="1.0" encoding="utf-8"?>
<formControlPr xmlns="http://schemas.microsoft.com/office/spreadsheetml/2009/9/main" objectType="CheckBox" checked="Checked" fmlaLink="$L$36" lockText="1" noThreeD="1"/>
</file>

<file path=xl/ctrlProps/ctrlProp128.xml><?xml version="1.0" encoding="utf-8"?>
<formControlPr xmlns="http://schemas.microsoft.com/office/spreadsheetml/2009/9/main" objectType="CheckBox" checked="Checked" fmlaLink="$L$37" lockText="1" noThreeD="1"/>
</file>

<file path=xl/ctrlProps/ctrlProp129.xml><?xml version="1.0" encoding="utf-8"?>
<formControlPr xmlns="http://schemas.microsoft.com/office/spreadsheetml/2009/9/main" objectType="CheckBox" checked="Checked" fmlaLink="$L$38"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617220</xdr:colOff>
          <xdr:row>25</xdr:row>
          <xdr:rowOff>175260</xdr:rowOff>
        </xdr:from>
        <xdr:to>
          <xdr:col>3</xdr:col>
          <xdr:colOff>861060</xdr:colOff>
          <xdr:row>27</xdr:row>
          <xdr:rowOff>22860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25</xdr:row>
          <xdr:rowOff>175260</xdr:rowOff>
        </xdr:from>
        <xdr:to>
          <xdr:col>5</xdr:col>
          <xdr:colOff>861060</xdr:colOff>
          <xdr:row>27</xdr:row>
          <xdr:rowOff>22860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25</xdr:row>
          <xdr:rowOff>175260</xdr:rowOff>
        </xdr:from>
        <xdr:to>
          <xdr:col>6</xdr:col>
          <xdr:colOff>861060</xdr:colOff>
          <xdr:row>27</xdr:row>
          <xdr:rowOff>22860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25</xdr:row>
          <xdr:rowOff>175260</xdr:rowOff>
        </xdr:from>
        <xdr:to>
          <xdr:col>7</xdr:col>
          <xdr:colOff>861060</xdr:colOff>
          <xdr:row>27</xdr:row>
          <xdr:rowOff>22860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25</xdr:row>
          <xdr:rowOff>175260</xdr:rowOff>
        </xdr:from>
        <xdr:to>
          <xdr:col>8</xdr:col>
          <xdr:colOff>861060</xdr:colOff>
          <xdr:row>27</xdr:row>
          <xdr:rowOff>22860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25</xdr:row>
          <xdr:rowOff>175260</xdr:rowOff>
        </xdr:from>
        <xdr:to>
          <xdr:col>9</xdr:col>
          <xdr:colOff>861060</xdr:colOff>
          <xdr:row>27</xdr:row>
          <xdr:rowOff>22860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25</xdr:row>
          <xdr:rowOff>175260</xdr:rowOff>
        </xdr:from>
        <xdr:to>
          <xdr:col>10</xdr:col>
          <xdr:colOff>861060</xdr:colOff>
          <xdr:row>27</xdr:row>
          <xdr:rowOff>22860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26</xdr:row>
          <xdr:rowOff>175260</xdr:rowOff>
        </xdr:from>
        <xdr:to>
          <xdr:col>3</xdr:col>
          <xdr:colOff>861060</xdr:colOff>
          <xdr:row>28</xdr:row>
          <xdr:rowOff>22860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27</xdr:row>
          <xdr:rowOff>175260</xdr:rowOff>
        </xdr:from>
        <xdr:to>
          <xdr:col>3</xdr:col>
          <xdr:colOff>861060</xdr:colOff>
          <xdr:row>29</xdr:row>
          <xdr:rowOff>22860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28</xdr:row>
          <xdr:rowOff>175260</xdr:rowOff>
        </xdr:from>
        <xdr:to>
          <xdr:col>3</xdr:col>
          <xdr:colOff>861060</xdr:colOff>
          <xdr:row>30</xdr:row>
          <xdr:rowOff>22860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29</xdr:row>
          <xdr:rowOff>175260</xdr:rowOff>
        </xdr:from>
        <xdr:to>
          <xdr:col>3</xdr:col>
          <xdr:colOff>861060</xdr:colOff>
          <xdr:row>31</xdr:row>
          <xdr:rowOff>22860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30</xdr:row>
          <xdr:rowOff>175260</xdr:rowOff>
        </xdr:from>
        <xdr:to>
          <xdr:col>3</xdr:col>
          <xdr:colOff>861060</xdr:colOff>
          <xdr:row>32</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31</xdr:row>
          <xdr:rowOff>175260</xdr:rowOff>
        </xdr:from>
        <xdr:to>
          <xdr:col>3</xdr:col>
          <xdr:colOff>861060</xdr:colOff>
          <xdr:row>33</xdr:row>
          <xdr:rowOff>22860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32</xdr:row>
          <xdr:rowOff>175260</xdr:rowOff>
        </xdr:from>
        <xdr:to>
          <xdr:col>3</xdr:col>
          <xdr:colOff>861060</xdr:colOff>
          <xdr:row>34</xdr:row>
          <xdr:rowOff>22860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33</xdr:row>
          <xdr:rowOff>175260</xdr:rowOff>
        </xdr:from>
        <xdr:to>
          <xdr:col>3</xdr:col>
          <xdr:colOff>861060</xdr:colOff>
          <xdr:row>35</xdr:row>
          <xdr:rowOff>22860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34</xdr:row>
          <xdr:rowOff>175260</xdr:rowOff>
        </xdr:from>
        <xdr:to>
          <xdr:col>3</xdr:col>
          <xdr:colOff>861060</xdr:colOff>
          <xdr:row>36</xdr:row>
          <xdr:rowOff>22860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35</xdr:row>
          <xdr:rowOff>175260</xdr:rowOff>
        </xdr:from>
        <xdr:to>
          <xdr:col>3</xdr:col>
          <xdr:colOff>861060</xdr:colOff>
          <xdr:row>37</xdr:row>
          <xdr:rowOff>22860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36</xdr:row>
          <xdr:rowOff>175260</xdr:rowOff>
        </xdr:from>
        <xdr:to>
          <xdr:col>3</xdr:col>
          <xdr:colOff>861060</xdr:colOff>
          <xdr:row>38</xdr:row>
          <xdr:rowOff>22860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617220</xdr:colOff>
          <xdr:row>24</xdr:row>
          <xdr:rowOff>175260</xdr:rowOff>
        </xdr:from>
        <xdr:to>
          <xdr:col>3</xdr:col>
          <xdr:colOff>861060</xdr:colOff>
          <xdr:row>26</xdr:row>
          <xdr:rowOff>22860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24</xdr:row>
          <xdr:rowOff>175260</xdr:rowOff>
        </xdr:from>
        <xdr:to>
          <xdr:col>4</xdr:col>
          <xdr:colOff>861060</xdr:colOff>
          <xdr:row>26</xdr:row>
          <xdr:rowOff>22860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24</xdr:row>
          <xdr:rowOff>175260</xdr:rowOff>
        </xdr:from>
        <xdr:to>
          <xdr:col>5</xdr:col>
          <xdr:colOff>861060</xdr:colOff>
          <xdr:row>26</xdr:row>
          <xdr:rowOff>22860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24</xdr:row>
          <xdr:rowOff>175260</xdr:rowOff>
        </xdr:from>
        <xdr:to>
          <xdr:col>6</xdr:col>
          <xdr:colOff>861060</xdr:colOff>
          <xdr:row>26</xdr:row>
          <xdr:rowOff>22860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24</xdr:row>
          <xdr:rowOff>175260</xdr:rowOff>
        </xdr:from>
        <xdr:to>
          <xdr:col>7</xdr:col>
          <xdr:colOff>861060</xdr:colOff>
          <xdr:row>26</xdr:row>
          <xdr:rowOff>22860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24</xdr:row>
          <xdr:rowOff>175260</xdr:rowOff>
        </xdr:from>
        <xdr:to>
          <xdr:col>8</xdr:col>
          <xdr:colOff>861060</xdr:colOff>
          <xdr:row>26</xdr:row>
          <xdr:rowOff>22860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24</xdr:row>
          <xdr:rowOff>175260</xdr:rowOff>
        </xdr:from>
        <xdr:to>
          <xdr:col>9</xdr:col>
          <xdr:colOff>861060</xdr:colOff>
          <xdr:row>26</xdr:row>
          <xdr:rowOff>22860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24</xdr:row>
          <xdr:rowOff>175260</xdr:rowOff>
        </xdr:from>
        <xdr:to>
          <xdr:col>10</xdr:col>
          <xdr:colOff>861060</xdr:colOff>
          <xdr:row>26</xdr:row>
          <xdr:rowOff>22860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25</xdr:row>
          <xdr:rowOff>175260</xdr:rowOff>
        </xdr:from>
        <xdr:to>
          <xdr:col>4</xdr:col>
          <xdr:colOff>861060</xdr:colOff>
          <xdr:row>27</xdr:row>
          <xdr:rowOff>22860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26</xdr:row>
          <xdr:rowOff>175260</xdr:rowOff>
        </xdr:from>
        <xdr:to>
          <xdr:col>4</xdr:col>
          <xdr:colOff>861060</xdr:colOff>
          <xdr:row>28</xdr:row>
          <xdr:rowOff>22860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27</xdr:row>
          <xdr:rowOff>175260</xdr:rowOff>
        </xdr:from>
        <xdr:to>
          <xdr:col>4</xdr:col>
          <xdr:colOff>861060</xdr:colOff>
          <xdr:row>29</xdr:row>
          <xdr:rowOff>22860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28</xdr:row>
          <xdr:rowOff>175260</xdr:rowOff>
        </xdr:from>
        <xdr:to>
          <xdr:col>4</xdr:col>
          <xdr:colOff>861060</xdr:colOff>
          <xdr:row>30</xdr:row>
          <xdr:rowOff>22860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29</xdr:row>
          <xdr:rowOff>175260</xdr:rowOff>
        </xdr:from>
        <xdr:to>
          <xdr:col>4</xdr:col>
          <xdr:colOff>861060</xdr:colOff>
          <xdr:row>31</xdr:row>
          <xdr:rowOff>22860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30</xdr:row>
          <xdr:rowOff>175260</xdr:rowOff>
        </xdr:from>
        <xdr:to>
          <xdr:col>4</xdr:col>
          <xdr:colOff>861060</xdr:colOff>
          <xdr:row>32</xdr:row>
          <xdr:rowOff>22860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31</xdr:row>
          <xdr:rowOff>175260</xdr:rowOff>
        </xdr:from>
        <xdr:to>
          <xdr:col>4</xdr:col>
          <xdr:colOff>861060</xdr:colOff>
          <xdr:row>33</xdr:row>
          <xdr:rowOff>22860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32</xdr:row>
          <xdr:rowOff>175260</xdr:rowOff>
        </xdr:from>
        <xdr:to>
          <xdr:col>4</xdr:col>
          <xdr:colOff>861060</xdr:colOff>
          <xdr:row>34</xdr:row>
          <xdr:rowOff>22860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33</xdr:row>
          <xdr:rowOff>175260</xdr:rowOff>
        </xdr:from>
        <xdr:to>
          <xdr:col>4</xdr:col>
          <xdr:colOff>861060</xdr:colOff>
          <xdr:row>35</xdr:row>
          <xdr:rowOff>22860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34</xdr:row>
          <xdr:rowOff>175260</xdr:rowOff>
        </xdr:from>
        <xdr:to>
          <xdr:col>4</xdr:col>
          <xdr:colOff>861060</xdr:colOff>
          <xdr:row>36</xdr:row>
          <xdr:rowOff>22860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35</xdr:row>
          <xdr:rowOff>175260</xdr:rowOff>
        </xdr:from>
        <xdr:to>
          <xdr:col>4</xdr:col>
          <xdr:colOff>861060</xdr:colOff>
          <xdr:row>37</xdr:row>
          <xdr:rowOff>22860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617220</xdr:colOff>
          <xdr:row>36</xdr:row>
          <xdr:rowOff>175260</xdr:rowOff>
        </xdr:from>
        <xdr:to>
          <xdr:col>4</xdr:col>
          <xdr:colOff>861060</xdr:colOff>
          <xdr:row>38</xdr:row>
          <xdr:rowOff>22860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26</xdr:row>
          <xdr:rowOff>175260</xdr:rowOff>
        </xdr:from>
        <xdr:to>
          <xdr:col>5</xdr:col>
          <xdr:colOff>861060</xdr:colOff>
          <xdr:row>28</xdr:row>
          <xdr:rowOff>22860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27</xdr:row>
          <xdr:rowOff>175260</xdr:rowOff>
        </xdr:from>
        <xdr:to>
          <xdr:col>5</xdr:col>
          <xdr:colOff>861060</xdr:colOff>
          <xdr:row>29</xdr:row>
          <xdr:rowOff>22860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28</xdr:row>
          <xdr:rowOff>175260</xdr:rowOff>
        </xdr:from>
        <xdr:to>
          <xdr:col>5</xdr:col>
          <xdr:colOff>861060</xdr:colOff>
          <xdr:row>30</xdr:row>
          <xdr:rowOff>22860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29</xdr:row>
          <xdr:rowOff>175260</xdr:rowOff>
        </xdr:from>
        <xdr:to>
          <xdr:col>5</xdr:col>
          <xdr:colOff>861060</xdr:colOff>
          <xdr:row>31</xdr:row>
          <xdr:rowOff>22860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30</xdr:row>
          <xdr:rowOff>175260</xdr:rowOff>
        </xdr:from>
        <xdr:to>
          <xdr:col>5</xdr:col>
          <xdr:colOff>861060</xdr:colOff>
          <xdr:row>32</xdr:row>
          <xdr:rowOff>22860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31</xdr:row>
          <xdr:rowOff>175260</xdr:rowOff>
        </xdr:from>
        <xdr:to>
          <xdr:col>5</xdr:col>
          <xdr:colOff>861060</xdr:colOff>
          <xdr:row>33</xdr:row>
          <xdr:rowOff>22860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32</xdr:row>
          <xdr:rowOff>175260</xdr:rowOff>
        </xdr:from>
        <xdr:to>
          <xdr:col>5</xdr:col>
          <xdr:colOff>861060</xdr:colOff>
          <xdr:row>34</xdr:row>
          <xdr:rowOff>22860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33</xdr:row>
          <xdr:rowOff>175260</xdr:rowOff>
        </xdr:from>
        <xdr:to>
          <xdr:col>5</xdr:col>
          <xdr:colOff>861060</xdr:colOff>
          <xdr:row>35</xdr:row>
          <xdr:rowOff>22860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34</xdr:row>
          <xdr:rowOff>175260</xdr:rowOff>
        </xdr:from>
        <xdr:to>
          <xdr:col>5</xdr:col>
          <xdr:colOff>861060</xdr:colOff>
          <xdr:row>36</xdr:row>
          <xdr:rowOff>22860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35</xdr:row>
          <xdr:rowOff>175260</xdr:rowOff>
        </xdr:from>
        <xdr:to>
          <xdr:col>5</xdr:col>
          <xdr:colOff>861060</xdr:colOff>
          <xdr:row>37</xdr:row>
          <xdr:rowOff>22860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617220</xdr:colOff>
          <xdr:row>36</xdr:row>
          <xdr:rowOff>175260</xdr:rowOff>
        </xdr:from>
        <xdr:to>
          <xdr:col>5</xdr:col>
          <xdr:colOff>861060</xdr:colOff>
          <xdr:row>38</xdr:row>
          <xdr:rowOff>22860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26</xdr:row>
          <xdr:rowOff>175260</xdr:rowOff>
        </xdr:from>
        <xdr:to>
          <xdr:col>6</xdr:col>
          <xdr:colOff>861060</xdr:colOff>
          <xdr:row>28</xdr:row>
          <xdr:rowOff>22860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27</xdr:row>
          <xdr:rowOff>175260</xdr:rowOff>
        </xdr:from>
        <xdr:to>
          <xdr:col>6</xdr:col>
          <xdr:colOff>861060</xdr:colOff>
          <xdr:row>29</xdr:row>
          <xdr:rowOff>22860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28</xdr:row>
          <xdr:rowOff>175260</xdr:rowOff>
        </xdr:from>
        <xdr:to>
          <xdr:col>6</xdr:col>
          <xdr:colOff>861060</xdr:colOff>
          <xdr:row>30</xdr:row>
          <xdr:rowOff>22860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29</xdr:row>
          <xdr:rowOff>175260</xdr:rowOff>
        </xdr:from>
        <xdr:to>
          <xdr:col>6</xdr:col>
          <xdr:colOff>861060</xdr:colOff>
          <xdr:row>31</xdr:row>
          <xdr:rowOff>22860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30</xdr:row>
          <xdr:rowOff>175260</xdr:rowOff>
        </xdr:from>
        <xdr:to>
          <xdr:col>6</xdr:col>
          <xdr:colOff>861060</xdr:colOff>
          <xdr:row>32</xdr:row>
          <xdr:rowOff>22860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31</xdr:row>
          <xdr:rowOff>175260</xdr:rowOff>
        </xdr:from>
        <xdr:to>
          <xdr:col>6</xdr:col>
          <xdr:colOff>861060</xdr:colOff>
          <xdr:row>33</xdr:row>
          <xdr:rowOff>22860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32</xdr:row>
          <xdr:rowOff>175260</xdr:rowOff>
        </xdr:from>
        <xdr:to>
          <xdr:col>6</xdr:col>
          <xdr:colOff>861060</xdr:colOff>
          <xdr:row>34</xdr:row>
          <xdr:rowOff>22860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33</xdr:row>
          <xdr:rowOff>175260</xdr:rowOff>
        </xdr:from>
        <xdr:to>
          <xdr:col>6</xdr:col>
          <xdr:colOff>861060</xdr:colOff>
          <xdr:row>35</xdr:row>
          <xdr:rowOff>22860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34</xdr:row>
          <xdr:rowOff>175260</xdr:rowOff>
        </xdr:from>
        <xdr:to>
          <xdr:col>6</xdr:col>
          <xdr:colOff>861060</xdr:colOff>
          <xdr:row>36</xdr:row>
          <xdr:rowOff>22860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35</xdr:row>
          <xdr:rowOff>175260</xdr:rowOff>
        </xdr:from>
        <xdr:to>
          <xdr:col>6</xdr:col>
          <xdr:colOff>861060</xdr:colOff>
          <xdr:row>37</xdr:row>
          <xdr:rowOff>22860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617220</xdr:colOff>
          <xdr:row>36</xdr:row>
          <xdr:rowOff>175260</xdr:rowOff>
        </xdr:from>
        <xdr:to>
          <xdr:col>6</xdr:col>
          <xdr:colOff>861060</xdr:colOff>
          <xdr:row>38</xdr:row>
          <xdr:rowOff>22860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26</xdr:row>
          <xdr:rowOff>175260</xdr:rowOff>
        </xdr:from>
        <xdr:to>
          <xdr:col>7</xdr:col>
          <xdr:colOff>861060</xdr:colOff>
          <xdr:row>28</xdr:row>
          <xdr:rowOff>22860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26</xdr:row>
          <xdr:rowOff>175260</xdr:rowOff>
        </xdr:from>
        <xdr:to>
          <xdr:col>8</xdr:col>
          <xdr:colOff>861060</xdr:colOff>
          <xdr:row>28</xdr:row>
          <xdr:rowOff>22860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27</xdr:row>
          <xdr:rowOff>175260</xdr:rowOff>
        </xdr:from>
        <xdr:to>
          <xdr:col>7</xdr:col>
          <xdr:colOff>861060</xdr:colOff>
          <xdr:row>29</xdr:row>
          <xdr:rowOff>22860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27</xdr:row>
          <xdr:rowOff>175260</xdr:rowOff>
        </xdr:from>
        <xdr:to>
          <xdr:col>8</xdr:col>
          <xdr:colOff>861060</xdr:colOff>
          <xdr:row>29</xdr:row>
          <xdr:rowOff>22860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28</xdr:row>
          <xdr:rowOff>175260</xdr:rowOff>
        </xdr:from>
        <xdr:to>
          <xdr:col>7</xdr:col>
          <xdr:colOff>861060</xdr:colOff>
          <xdr:row>30</xdr:row>
          <xdr:rowOff>22860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28</xdr:row>
          <xdr:rowOff>175260</xdr:rowOff>
        </xdr:from>
        <xdr:to>
          <xdr:col>8</xdr:col>
          <xdr:colOff>861060</xdr:colOff>
          <xdr:row>30</xdr:row>
          <xdr:rowOff>22860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29</xdr:row>
          <xdr:rowOff>175260</xdr:rowOff>
        </xdr:from>
        <xdr:to>
          <xdr:col>7</xdr:col>
          <xdr:colOff>861060</xdr:colOff>
          <xdr:row>31</xdr:row>
          <xdr:rowOff>22860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29</xdr:row>
          <xdr:rowOff>175260</xdr:rowOff>
        </xdr:from>
        <xdr:to>
          <xdr:col>8</xdr:col>
          <xdr:colOff>861060</xdr:colOff>
          <xdr:row>31</xdr:row>
          <xdr:rowOff>22860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30</xdr:row>
          <xdr:rowOff>175260</xdr:rowOff>
        </xdr:from>
        <xdr:to>
          <xdr:col>7</xdr:col>
          <xdr:colOff>861060</xdr:colOff>
          <xdr:row>32</xdr:row>
          <xdr:rowOff>22860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30</xdr:row>
          <xdr:rowOff>175260</xdr:rowOff>
        </xdr:from>
        <xdr:to>
          <xdr:col>8</xdr:col>
          <xdr:colOff>861060</xdr:colOff>
          <xdr:row>32</xdr:row>
          <xdr:rowOff>22860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31</xdr:row>
          <xdr:rowOff>175260</xdr:rowOff>
        </xdr:from>
        <xdr:to>
          <xdr:col>7</xdr:col>
          <xdr:colOff>861060</xdr:colOff>
          <xdr:row>33</xdr:row>
          <xdr:rowOff>22860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31</xdr:row>
          <xdr:rowOff>175260</xdr:rowOff>
        </xdr:from>
        <xdr:to>
          <xdr:col>8</xdr:col>
          <xdr:colOff>861060</xdr:colOff>
          <xdr:row>33</xdr:row>
          <xdr:rowOff>22860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32</xdr:row>
          <xdr:rowOff>175260</xdr:rowOff>
        </xdr:from>
        <xdr:to>
          <xdr:col>7</xdr:col>
          <xdr:colOff>861060</xdr:colOff>
          <xdr:row>34</xdr:row>
          <xdr:rowOff>22860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32</xdr:row>
          <xdr:rowOff>175260</xdr:rowOff>
        </xdr:from>
        <xdr:to>
          <xdr:col>8</xdr:col>
          <xdr:colOff>861060</xdr:colOff>
          <xdr:row>34</xdr:row>
          <xdr:rowOff>22860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33</xdr:row>
          <xdr:rowOff>175260</xdr:rowOff>
        </xdr:from>
        <xdr:to>
          <xdr:col>7</xdr:col>
          <xdr:colOff>861060</xdr:colOff>
          <xdr:row>35</xdr:row>
          <xdr:rowOff>22860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33</xdr:row>
          <xdr:rowOff>175260</xdr:rowOff>
        </xdr:from>
        <xdr:to>
          <xdr:col>8</xdr:col>
          <xdr:colOff>861060</xdr:colOff>
          <xdr:row>35</xdr:row>
          <xdr:rowOff>22860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34</xdr:row>
          <xdr:rowOff>175260</xdr:rowOff>
        </xdr:from>
        <xdr:to>
          <xdr:col>7</xdr:col>
          <xdr:colOff>861060</xdr:colOff>
          <xdr:row>36</xdr:row>
          <xdr:rowOff>22860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34</xdr:row>
          <xdr:rowOff>175260</xdr:rowOff>
        </xdr:from>
        <xdr:to>
          <xdr:col>8</xdr:col>
          <xdr:colOff>861060</xdr:colOff>
          <xdr:row>36</xdr:row>
          <xdr:rowOff>22860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35</xdr:row>
          <xdr:rowOff>175260</xdr:rowOff>
        </xdr:from>
        <xdr:to>
          <xdr:col>7</xdr:col>
          <xdr:colOff>861060</xdr:colOff>
          <xdr:row>37</xdr:row>
          <xdr:rowOff>22860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35</xdr:row>
          <xdr:rowOff>175260</xdr:rowOff>
        </xdr:from>
        <xdr:to>
          <xdr:col>8</xdr:col>
          <xdr:colOff>861060</xdr:colOff>
          <xdr:row>37</xdr:row>
          <xdr:rowOff>22860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617220</xdr:colOff>
          <xdr:row>36</xdr:row>
          <xdr:rowOff>175260</xdr:rowOff>
        </xdr:from>
        <xdr:to>
          <xdr:col>7</xdr:col>
          <xdr:colOff>861060</xdr:colOff>
          <xdr:row>38</xdr:row>
          <xdr:rowOff>22860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36</xdr:row>
          <xdr:rowOff>175260</xdr:rowOff>
        </xdr:from>
        <xdr:to>
          <xdr:col>8</xdr:col>
          <xdr:colOff>861060</xdr:colOff>
          <xdr:row>38</xdr:row>
          <xdr:rowOff>22860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26</xdr:row>
          <xdr:rowOff>175260</xdr:rowOff>
        </xdr:from>
        <xdr:to>
          <xdr:col>9</xdr:col>
          <xdr:colOff>861060</xdr:colOff>
          <xdr:row>28</xdr:row>
          <xdr:rowOff>22860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27</xdr:row>
          <xdr:rowOff>175260</xdr:rowOff>
        </xdr:from>
        <xdr:to>
          <xdr:col>9</xdr:col>
          <xdr:colOff>861060</xdr:colOff>
          <xdr:row>29</xdr:row>
          <xdr:rowOff>22860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28</xdr:row>
          <xdr:rowOff>175260</xdr:rowOff>
        </xdr:from>
        <xdr:to>
          <xdr:col>9</xdr:col>
          <xdr:colOff>861060</xdr:colOff>
          <xdr:row>30</xdr:row>
          <xdr:rowOff>22860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29</xdr:row>
          <xdr:rowOff>175260</xdr:rowOff>
        </xdr:from>
        <xdr:to>
          <xdr:col>9</xdr:col>
          <xdr:colOff>861060</xdr:colOff>
          <xdr:row>31</xdr:row>
          <xdr:rowOff>22860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30</xdr:row>
          <xdr:rowOff>175260</xdr:rowOff>
        </xdr:from>
        <xdr:to>
          <xdr:col>9</xdr:col>
          <xdr:colOff>861060</xdr:colOff>
          <xdr:row>32</xdr:row>
          <xdr:rowOff>22860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31</xdr:row>
          <xdr:rowOff>175260</xdr:rowOff>
        </xdr:from>
        <xdr:to>
          <xdr:col>9</xdr:col>
          <xdr:colOff>861060</xdr:colOff>
          <xdr:row>33</xdr:row>
          <xdr:rowOff>22860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32</xdr:row>
          <xdr:rowOff>175260</xdr:rowOff>
        </xdr:from>
        <xdr:to>
          <xdr:col>9</xdr:col>
          <xdr:colOff>861060</xdr:colOff>
          <xdr:row>34</xdr:row>
          <xdr:rowOff>22860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33</xdr:row>
          <xdr:rowOff>175260</xdr:rowOff>
        </xdr:from>
        <xdr:to>
          <xdr:col>9</xdr:col>
          <xdr:colOff>861060</xdr:colOff>
          <xdr:row>35</xdr:row>
          <xdr:rowOff>22860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34</xdr:row>
          <xdr:rowOff>175260</xdr:rowOff>
        </xdr:from>
        <xdr:to>
          <xdr:col>9</xdr:col>
          <xdr:colOff>861060</xdr:colOff>
          <xdr:row>36</xdr:row>
          <xdr:rowOff>22860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35</xdr:row>
          <xdr:rowOff>175260</xdr:rowOff>
        </xdr:from>
        <xdr:to>
          <xdr:col>9</xdr:col>
          <xdr:colOff>861060</xdr:colOff>
          <xdr:row>37</xdr:row>
          <xdr:rowOff>22860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617220</xdr:colOff>
          <xdr:row>36</xdr:row>
          <xdr:rowOff>175260</xdr:rowOff>
        </xdr:from>
        <xdr:to>
          <xdr:col>9</xdr:col>
          <xdr:colOff>861060</xdr:colOff>
          <xdr:row>38</xdr:row>
          <xdr:rowOff>22860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26</xdr:row>
          <xdr:rowOff>175260</xdr:rowOff>
        </xdr:from>
        <xdr:to>
          <xdr:col>10</xdr:col>
          <xdr:colOff>861060</xdr:colOff>
          <xdr:row>28</xdr:row>
          <xdr:rowOff>22860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27</xdr:row>
          <xdr:rowOff>175260</xdr:rowOff>
        </xdr:from>
        <xdr:to>
          <xdr:col>10</xdr:col>
          <xdr:colOff>861060</xdr:colOff>
          <xdr:row>29</xdr:row>
          <xdr:rowOff>22860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28</xdr:row>
          <xdr:rowOff>175260</xdr:rowOff>
        </xdr:from>
        <xdr:to>
          <xdr:col>10</xdr:col>
          <xdr:colOff>861060</xdr:colOff>
          <xdr:row>30</xdr:row>
          <xdr:rowOff>22860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29</xdr:row>
          <xdr:rowOff>175260</xdr:rowOff>
        </xdr:from>
        <xdr:to>
          <xdr:col>10</xdr:col>
          <xdr:colOff>861060</xdr:colOff>
          <xdr:row>31</xdr:row>
          <xdr:rowOff>22860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30</xdr:row>
          <xdr:rowOff>175260</xdr:rowOff>
        </xdr:from>
        <xdr:to>
          <xdr:col>10</xdr:col>
          <xdr:colOff>861060</xdr:colOff>
          <xdr:row>32</xdr:row>
          <xdr:rowOff>22860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31</xdr:row>
          <xdr:rowOff>175260</xdr:rowOff>
        </xdr:from>
        <xdr:to>
          <xdr:col>10</xdr:col>
          <xdr:colOff>861060</xdr:colOff>
          <xdr:row>33</xdr:row>
          <xdr:rowOff>22860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32</xdr:row>
          <xdr:rowOff>175260</xdr:rowOff>
        </xdr:from>
        <xdr:to>
          <xdr:col>10</xdr:col>
          <xdr:colOff>861060</xdr:colOff>
          <xdr:row>34</xdr:row>
          <xdr:rowOff>22860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33</xdr:row>
          <xdr:rowOff>175260</xdr:rowOff>
        </xdr:from>
        <xdr:to>
          <xdr:col>10</xdr:col>
          <xdr:colOff>861060</xdr:colOff>
          <xdr:row>35</xdr:row>
          <xdr:rowOff>22860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34</xdr:row>
          <xdr:rowOff>175260</xdr:rowOff>
        </xdr:from>
        <xdr:to>
          <xdr:col>10</xdr:col>
          <xdr:colOff>861060</xdr:colOff>
          <xdr:row>36</xdr:row>
          <xdr:rowOff>22860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35</xdr:row>
          <xdr:rowOff>175260</xdr:rowOff>
        </xdr:from>
        <xdr:to>
          <xdr:col>10</xdr:col>
          <xdr:colOff>861060</xdr:colOff>
          <xdr:row>37</xdr:row>
          <xdr:rowOff>22860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36</xdr:row>
          <xdr:rowOff>175260</xdr:rowOff>
        </xdr:from>
        <xdr:to>
          <xdr:col>10</xdr:col>
          <xdr:colOff>861060</xdr:colOff>
          <xdr:row>38</xdr:row>
          <xdr:rowOff>22860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24</xdr:row>
          <xdr:rowOff>175260</xdr:rowOff>
        </xdr:from>
        <xdr:to>
          <xdr:col>11</xdr:col>
          <xdr:colOff>861060</xdr:colOff>
          <xdr:row>26</xdr:row>
          <xdr:rowOff>22860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25</xdr:row>
          <xdr:rowOff>175260</xdr:rowOff>
        </xdr:from>
        <xdr:to>
          <xdr:col>11</xdr:col>
          <xdr:colOff>861060</xdr:colOff>
          <xdr:row>27</xdr:row>
          <xdr:rowOff>22860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26</xdr:row>
          <xdr:rowOff>175260</xdr:rowOff>
        </xdr:from>
        <xdr:to>
          <xdr:col>11</xdr:col>
          <xdr:colOff>861060</xdr:colOff>
          <xdr:row>28</xdr:row>
          <xdr:rowOff>22860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27</xdr:row>
          <xdr:rowOff>175260</xdr:rowOff>
        </xdr:from>
        <xdr:to>
          <xdr:col>11</xdr:col>
          <xdr:colOff>861060</xdr:colOff>
          <xdr:row>29</xdr:row>
          <xdr:rowOff>22860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28</xdr:row>
          <xdr:rowOff>175260</xdr:rowOff>
        </xdr:from>
        <xdr:to>
          <xdr:col>11</xdr:col>
          <xdr:colOff>861060</xdr:colOff>
          <xdr:row>30</xdr:row>
          <xdr:rowOff>22860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29</xdr:row>
          <xdr:rowOff>175260</xdr:rowOff>
        </xdr:from>
        <xdr:to>
          <xdr:col>11</xdr:col>
          <xdr:colOff>861060</xdr:colOff>
          <xdr:row>31</xdr:row>
          <xdr:rowOff>22860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30</xdr:row>
          <xdr:rowOff>175260</xdr:rowOff>
        </xdr:from>
        <xdr:to>
          <xdr:col>11</xdr:col>
          <xdr:colOff>861060</xdr:colOff>
          <xdr:row>32</xdr:row>
          <xdr:rowOff>22860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31</xdr:row>
          <xdr:rowOff>175260</xdr:rowOff>
        </xdr:from>
        <xdr:to>
          <xdr:col>11</xdr:col>
          <xdr:colOff>861060</xdr:colOff>
          <xdr:row>33</xdr:row>
          <xdr:rowOff>22860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32</xdr:row>
          <xdr:rowOff>175260</xdr:rowOff>
        </xdr:from>
        <xdr:to>
          <xdr:col>11</xdr:col>
          <xdr:colOff>861060</xdr:colOff>
          <xdr:row>34</xdr:row>
          <xdr:rowOff>22860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33</xdr:row>
          <xdr:rowOff>175260</xdr:rowOff>
        </xdr:from>
        <xdr:to>
          <xdr:col>11</xdr:col>
          <xdr:colOff>861060</xdr:colOff>
          <xdr:row>35</xdr:row>
          <xdr:rowOff>22860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34</xdr:row>
          <xdr:rowOff>175260</xdr:rowOff>
        </xdr:from>
        <xdr:to>
          <xdr:col>11</xdr:col>
          <xdr:colOff>861060</xdr:colOff>
          <xdr:row>36</xdr:row>
          <xdr:rowOff>22860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35</xdr:row>
          <xdr:rowOff>175260</xdr:rowOff>
        </xdr:from>
        <xdr:to>
          <xdr:col>11</xdr:col>
          <xdr:colOff>861060</xdr:colOff>
          <xdr:row>37</xdr:row>
          <xdr:rowOff>22860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36</xdr:row>
          <xdr:rowOff>175260</xdr:rowOff>
        </xdr:from>
        <xdr:to>
          <xdr:col>11</xdr:col>
          <xdr:colOff>861060</xdr:colOff>
          <xdr:row>38</xdr:row>
          <xdr:rowOff>22860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25</xdr:row>
          <xdr:rowOff>175260</xdr:rowOff>
        </xdr:from>
        <xdr:to>
          <xdr:col>11</xdr:col>
          <xdr:colOff>861060</xdr:colOff>
          <xdr:row>27</xdr:row>
          <xdr:rowOff>22860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26</xdr:row>
          <xdr:rowOff>175260</xdr:rowOff>
        </xdr:from>
        <xdr:to>
          <xdr:col>11</xdr:col>
          <xdr:colOff>861060</xdr:colOff>
          <xdr:row>28</xdr:row>
          <xdr:rowOff>22860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27</xdr:row>
          <xdr:rowOff>175260</xdr:rowOff>
        </xdr:from>
        <xdr:to>
          <xdr:col>11</xdr:col>
          <xdr:colOff>861060</xdr:colOff>
          <xdr:row>29</xdr:row>
          <xdr:rowOff>22860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28</xdr:row>
          <xdr:rowOff>175260</xdr:rowOff>
        </xdr:from>
        <xdr:to>
          <xdr:col>11</xdr:col>
          <xdr:colOff>861060</xdr:colOff>
          <xdr:row>30</xdr:row>
          <xdr:rowOff>22860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29</xdr:row>
          <xdr:rowOff>175260</xdr:rowOff>
        </xdr:from>
        <xdr:to>
          <xdr:col>11</xdr:col>
          <xdr:colOff>861060</xdr:colOff>
          <xdr:row>31</xdr:row>
          <xdr:rowOff>22860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30</xdr:row>
          <xdr:rowOff>175260</xdr:rowOff>
        </xdr:from>
        <xdr:to>
          <xdr:col>11</xdr:col>
          <xdr:colOff>861060</xdr:colOff>
          <xdr:row>32</xdr:row>
          <xdr:rowOff>22860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31</xdr:row>
          <xdr:rowOff>175260</xdr:rowOff>
        </xdr:from>
        <xdr:to>
          <xdr:col>11</xdr:col>
          <xdr:colOff>861060</xdr:colOff>
          <xdr:row>33</xdr:row>
          <xdr:rowOff>22860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32</xdr:row>
          <xdr:rowOff>175260</xdr:rowOff>
        </xdr:from>
        <xdr:to>
          <xdr:col>11</xdr:col>
          <xdr:colOff>861060</xdr:colOff>
          <xdr:row>34</xdr:row>
          <xdr:rowOff>22860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33</xdr:row>
          <xdr:rowOff>175260</xdr:rowOff>
        </xdr:from>
        <xdr:to>
          <xdr:col>11</xdr:col>
          <xdr:colOff>861060</xdr:colOff>
          <xdr:row>35</xdr:row>
          <xdr:rowOff>22860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34</xdr:row>
          <xdr:rowOff>175260</xdr:rowOff>
        </xdr:from>
        <xdr:to>
          <xdr:col>11</xdr:col>
          <xdr:colOff>861060</xdr:colOff>
          <xdr:row>36</xdr:row>
          <xdr:rowOff>22860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35</xdr:row>
          <xdr:rowOff>175260</xdr:rowOff>
        </xdr:from>
        <xdr:to>
          <xdr:col>11</xdr:col>
          <xdr:colOff>861060</xdr:colOff>
          <xdr:row>37</xdr:row>
          <xdr:rowOff>22860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617220</xdr:colOff>
          <xdr:row>36</xdr:row>
          <xdr:rowOff>175260</xdr:rowOff>
        </xdr:from>
        <xdr:to>
          <xdr:col>11</xdr:col>
          <xdr:colOff>861060</xdr:colOff>
          <xdr:row>38</xdr:row>
          <xdr:rowOff>22860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292009</xdr:colOff>
      <xdr:row>41</xdr:row>
      <xdr:rowOff>25307</xdr:rowOff>
    </xdr:from>
    <xdr:to>
      <xdr:col>26</xdr:col>
      <xdr:colOff>393791</xdr:colOff>
      <xdr:row>63</xdr:row>
      <xdr:rowOff>0</xdr:rowOff>
    </xdr:to>
    <xdr:sp macro="" textlink="">
      <xdr:nvSpPr>
        <xdr:cNvPr id="2" name="CuadroTexto 1">
          <a:extLst>
            <a:ext uri="{FF2B5EF4-FFF2-40B4-BE49-F238E27FC236}">
              <a16:creationId xmlns:a16="http://schemas.microsoft.com/office/drawing/2014/main" id="{6A12203C-F553-511F-1DA0-6DF4F8CCD2BC}"/>
            </a:ext>
          </a:extLst>
        </xdr:cNvPr>
        <xdr:cNvSpPr txBox="1"/>
      </xdr:nvSpPr>
      <xdr:spPr>
        <a:xfrm>
          <a:off x="23750723" y="7277914"/>
          <a:ext cx="6224997" cy="38663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Consideraciones generales sobre los</a:t>
          </a:r>
          <a:r>
            <a:rPr lang="es-ES" sz="1100" baseline="0"/>
            <a:t> recursos materiales:</a:t>
          </a:r>
        </a:p>
        <a:p>
          <a:r>
            <a:rPr lang="es-ES" sz="1100" baseline="0"/>
            <a:t>- Los ordenadores portátiles se han considerado para el trabajo del empleado. No tienen requerimientos muy altos, pero son suficientes para que el empleado realice su trabajo laboral diario</a:t>
          </a:r>
        </a:p>
        <a:p>
          <a:r>
            <a:rPr lang="es-ES" sz="1100" baseline="0"/>
            <a:t>- La base de datos CloudSQL incluye u servidor PostgreSQL Enterprise con 2vCPU, 7.5GB de RAM, altta disponibilidad regional y 50GB de almacenamiento SSD</a:t>
          </a:r>
        </a:p>
        <a:p>
          <a:r>
            <a:rPr lang="es-ES" sz="1100" baseline="0"/>
            <a:t>- La caché redis estándar contiene 1 GB de capacidad y Alta disponibilidad con replcación automática</a:t>
          </a:r>
        </a:p>
        <a:p>
          <a:r>
            <a:rPr lang="es-ES" sz="1100" baseline="0"/>
            <a:t>- El servidor BackEnd de Cloud Run, serverless, con escalado automático de 0 a 10 instancias y con una estimación de 4 millones de peticiones al mes que soportaría a unos 5000 usuarios de forma continuada.</a:t>
          </a:r>
        </a:p>
        <a:p>
          <a:r>
            <a:rPr lang="es-ES" sz="1100" baseline="0"/>
            <a:t>- Google Maps Places y Geocoding PIs. Tiene una tarifa gratuita extensa pero se le ha dado un presupuesto de seguridad amplio al ser una de las partes más importantes de la infraestructura.</a:t>
          </a:r>
        </a:p>
        <a:p>
          <a:r>
            <a:rPr lang="es-ES" sz="1100" baseline="0"/>
            <a:t>- Almacenamiento y Red con Cloud Storage que inclute imágenes de perfil/eventos y transferencia de datos salientes</a:t>
          </a:r>
        </a:p>
        <a:p>
          <a:endParaRPr lang="es-ES" sz="1100" baseline="0"/>
        </a:p>
        <a:p>
          <a:r>
            <a:rPr lang="es-ES" sz="1100" baseline="0"/>
            <a:t>- TODO ESTO DARÍA UN TOTAL DE 9200 € APRÓX. LAS CONSIDERACIONES HAN SIDO OPTIMISTAS (5000 USUARIOS CONCURRENTES DURANTE TODO EL AÑO). AÚN ASÍ, SE DA HASTA 12000 EUROS DE PRESUPUESTO EXTRA PARA CUBRIR POSIBLES NECESIDADES PUNTUALES, ADEMÁS DE EL PRESUPUESTO DE RIEGOS ACORDE. TAMBIÉN ES NECESARIO TENER EN CUENTA QUE SI SE LLEGA A SOBREPASAR LAS ESTIMACIONES, SE PODRÍA DEDICAR PARTE DE LOS INGRESOS GENERADOS A MEJORAR ESTE PLAN DE INFRAESTRUCTURA.</a:t>
          </a:r>
          <a:endParaRPr lang="es-ES" sz="1100"/>
        </a:p>
      </xdr:txBody>
    </xdr:sp>
    <xdr:clientData/>
  </xdr:twoCellAnchor>
  <xdr:oneCellAnchor>
    <xdr:from>
      <xdr:col>10</xdr:col>
      <xdr:colOff>56607</xdr:colOff>
      <xdr:row>58</xdr:row>
      <xdr:rowOff>21499</xdr:rowOff>
    </xdr:from>
    <xdr:ext cx="4566011" cy="1761036"/>
    <xdr:sp macro="" textlink="">
      <xdr:nvSpPr>
        <xdr:cNvPr id="3" name="CuadroTexto 2">
          <a:extLst>
            <a:ext uri="{FF2B5EF4-FFF2-40B4-BE49-F238E27FC236}">
              <a16:creationId xmlns:a16="http://schemas.microsoft.com/office/drawing/2014/main" id="{5F4FD02E-1E0B-C5B1-23A1-3F99EAAEE936}"/>
            </a:ext>
          </a:extLst>
        </xdr:cNvPr>
        <xdr:cNvSpPr txBox="1"/>
      </xdr:nvSpPr>
      <xdr:spPr>
        <a:xfrm>
          <a:off x="13854250" y="10281285"/>
          <a:ext cx="4566011" cy="176103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a:t>Los</a:t>
          </a:r>
          <a:r>
            <a:rPr lang="es-ES" sz="1100" baseline="0"/>
            <a:t> aumentos de salario vienen a solventar la moral baja de los distintos empleados con sueldos menores que la media de su empleo.</a:t>
          </a:r>
          <a:br>
            <a:rPr lang="es-ES" sz="1100" baseline="0"/>
          </a:br>
          <a:r>
            <a:rPr lang="es-ES" sz="1100" baseline="0"/>
            <a:t>Las instalaciones y el alquiler es un coste estimado según precios encontrados por plataformas de alquiler.</a:t>
          </a:r>
          <a:br>
            <a:rPr lang="es-ES" sz="1100" baseline="0"/>
          </a:br>
          <a:r>
            <a:rPr lang="es-ES" sz="1100" baseline="0"/>
            <a:t>Los fondoos de locomoción se destinarán a que los empleados y jefes de la empresa puedan viajar y dar a conocer su marca.</a:t>
          </a:r>
        </a:p>
        <a:p>
          <a:r>
            <a:rPr lang="es-ES" sz="1100" baseline="0"/>
            <a:t>El presupuesto denominado como "masMarketing" se destina también como el de Marketing visto en la tabla de "CostesTotales" pero este pertenece al presupuesto de la ayuda, por eso se divide en 2 partes.</a:t>
          </a:r>
          <a:endParaRPr lang="es-ES" sz="1100"/>
        </a:p>
      </xdr:txBody>
    </xdr:sp>
    <xdr:clientData/>
  </xdr:oneCellAnchor>
  <xdr:twoCellAnchor>
    <xdr:from>
      <xdr:col>2</xdr:col>
      <xdr:colOff>76198</xdr:colOff>
      <xdr:row>44</xdr:row>
      <xdr:rowOff>173181</xdr:rowOff>
    </xdr:from>
    <xdr:to>
      <xdr:col>3</xdr:col>
      <xdr:colOff>1496289</xdr:colOff>
      <xdr:row>51</xdr:row>
      <xdr:rowOff>-1</xdr:rowOff>
    </xdr:to>
    <xdr:sp macro="" textlink="">
      <xdr:nvSpPr>
        <xdr:cNvPr id="4" name="CuadroTexto 3">
          <a:extLst>
            <a:ext uri="{FF2B5EF4-FFF2-40B4-BE49-F238E27FC236}">
              <a16:creationId xmlns:a16="http://schemas.microsoft.com/office/drawing/2014/main" id="{91AD1218-4674-8703-5881-135AC6524573}"/>
            </a:ext>
          </a:extLst>
        </xdr:cNvPr>
        <xdr:cNvSpPr txBox="1"/>
      </xdr:nvSpPr>
      <xdr:spPr>
        <a:xfrm>
          <a:off x="893616" y="8097981"/>
          <a:ext cx="2930237" cy="10875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Los Gastos</a:t>
          </a:r>
          <a:r>
            <a:rPr lang="es-ES" sz="1100" baseline="0"/>
            <a:t> de Financiación para la suma final, no tienen en cuenta la parte de aumentos de salario al  estar estos ya añadidos a la parte de Recursos Humanos</a:t>
          </a:r>
          <a:endParaRPr lang="es-E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P60"/>
  <sheetViews>
    <sheetView tabSelected="1" topLeftCell="A22" zoomScale="70" zoomScaleNormal="70" workbookViewId="0">
      <selection activeCell="F47" sqref="F47"/>
    </sheetView>
  </sheetViews>
  <sheetFormatPr baseColWidth="10" defaultColWidth="8.88671875" defaultRowHeight="14.4" x14ac:dyDescent="0.3"/>
  <cols>
    <col min="2" max="2" width="3.109375" customWidth="1"/>
    <col min="3" max="3" width="22" customWidth="1"/>
    <col min="4" max="4" width="25.109375" customWidth="1"/>
    <col min="5" max="5" width="43.21875" customWidth="1"/>
    <col min="6" max="6" width="22.5546875" customWidth="1"/>
    <col min="7" max="7" width="19.109375" customWidth="1"/>
    <col min="8" max="8" width="18.109375" customWidth="1"/>
    <col min="9" max="9" width="26.33203125" customWidth="1"/>
    <col min="10" max="10" width="23" customWidth="1"/>
    <col min="11" max="11" width="45.88671875" customWidth="1"/>
    <col min="12" max="12" width="25.33203125" customWidth="1"/>
    <col min="14" max="14" width="35.77734375" customWidth="1"/>
    <col min="15" max="15" width="14.77734375" customWidth="1"/>
    <col min="16" max="16" width="14.109375" customWidth="1"/>
  </cols>
  <sheetData>
    <row r="5" spans="3:11" x14ac:dyDescent="0.3">
      <c r="C5" s="15" t="s">
        <v>4</v>
      </c>
      <c r="D5" s="15"/>
      <c r="E5" s="15"/>
      <c r="F5" s="15"/>
      <c r="G5" s="15"/>
      <c r="H5" s="15"/>
    </row>
    <row r="6" spans="3:11" x14ac:dyDescent="0.3">
      <c r="C6" s="1"/>
      <c r="D6" s="1" t="s">
        <v>5</v>
      </c>
      <c r="E6" s="1" t="s">
        <v>6</v>
      </c>
      <c r="F6" s="1" t="s">
        <v>0</v>
      </c>
      <c r="G6" s="1" t="s">
        <v>63</v>
      </c>
      <c r="H6" s="1" t="s">
        <v>1</v>
      </c>
      <c r="J6" s="15" t="s">
        <v>81</v>
      </c>
      <c r="K6" s="15"/>
    </row>
    <row r="7" spans="3:11" x14ac:dyDescent="0.3">
      <c r="C7" s="1" t="s">
        <v>2</v>
      </c>
      <c r="D7" s="12" t="s">
        <v>13</v>
      </c>
      <c r="E7" s="1" t="s">
        <v>7</v>
      </c>
      <c r="F7" s="1">
        <v>30000</v>
      </c>
      <c r="G7" s="1"/>
      <c r="H7" s="1">
        <f>F7+G7+(F7*0.23)</f>
        <v>36900</v>
      </c>
      <c r="J7" s="1" t="s">
        <v>10</v>
      </c>
      <c r="K7" s="1">
        <f>SUM(H10,H15)</f>
        <v>80565</v>
      </c>
    </row>
    <row r="8" spans="3:11" x14ac:dyDescent="0.3">
      <c r="C8" s="1"/>
      <c r="D8" s="12" t="s">
        <v>14</v>
      </c>
      <c r="E8" s="1" t="s">
        <v>8</v>
      </c>
      <c r="F8" s="1">
        <v>30000</v>
      </c>
      <c r="G8" s="1"/>
      <c r="H8" s="1">
        <f t="shared" ref="H8:H11" si="0">F8+G8+(F8*0.23)</f>
        <v>36900</v>
      </c>
      <c r="J8" s="1" t="s">
        <v>12</v>
      </c>
      <c r="K8" s="1">
        <f>SUM(H13,H14)</f>
        <v>84870</v>
      </c>
    </row>
    <row r="9" spans="3:11" x14ac:dyDescent="0.3">
      <c r="C9" s="1"/>
      <c r="D9" s="12" t="s">
        <v>16</v>
      </c>
      <c r="E9" s="1" t="s">
        <v>9</v>
      </c>
      <c r="F9" s="1">
        <v>30000</v>
      </c>
      <c r="G9" s="1"/>
      <c r="H9" s="1">
        <f t="shared" si="0"/>
        <v>36900</v>
      </c>
      <c r="J9" s="1" t="s">
        <v>11</v>
      </c>
      <c r="K9" s="1">
        <f>H11</f>
        <v>51045</v>
      </c>
    </row>
    <row r="10" spans="3:11" x14ac:dyDescent="0.3">
      <c r="C10" s="1" t="s">
        <v>3</v>
      </c>
      <c r="D10" s="12" t="s">
        <v>39</v>
      </c>
      <c r="E10" s="1" t="s">
        <v>10</v>
      </c>
      <c r="F10" s="1">
        <v>43500</v>
      </c>
      <c r="G10" s="1"/>
      <c r="H10" s="1">
        <f t="shared" si="0"/>
        <v>53505</v>
      </c>
      <c r="J10" s="1" t="s">
        <v>40</v>
      </c>
      <c r="K10" s="1">
        <f>H12</f>
        <v>44280</v>
      </c>
    </row>
    <row r="11" spans="3:11" x14ac:dyDescent="0.3">
      <c r="C11" s="1"/>
      <c r="D11" s="12" t="s">
        <v>15</v>
      </c>
      <c r="E11" s="1" t="s">
        <v>11</v>
      </c>
      <c r="F11" s="1">
        <v>41500</v>
      </c>
      <c r="G11" s="1"/>
      <c r="H11" s="1">
        <f t="shared" si="0"/>
        <v>51045</v>
      </c>
      <c r="J11" s="1" t="s">
        <v>82</v>
      </c>
      <c r="K11" s="1">
        <f>SUM(H7:H9)</f>
        <v>110700</v>
      </c>
    </row>
    <row r="12" spans="3:11" x14ac:dyDescent="0.3">
      <c r="C12" s="1"/>
      <c r="D12" s="12" t="s">
        <v>41</v>
      </c>
      <c r="E12" s="1" t="s">
        <v>40</v>
      </c>
      <c r="F12" s="1">
        <v>33500</v>
      </c>
      <c r="G12" s="1">
        <v>2500</v>
      </c>
      <c r="H12" s="1">
        <f>(F12+G12)*1.23</f>
        <v>44280</v>
      </c>
      <c r="J12" s="1" t="s">
        <v>20</v>
      </c>
      <c r="K12" s="1">
        <f>SUM(K7:K11)</f>
        <v>371460</v>
      </c>
    </row>
    <row r="13" spans="3:11" x14ac:dyDescent="0.3">
      <c r="C13" s="1"/>
      <c r="D13" s="12" t="s">
        <v>42</v>
      </c>
      <c r="E13" s="1" t="s">
        <v>43</v>
      </c>
      <c r="F13" s="1">
        <v>25000</v>
      </c>
      <c r="G13" s="1"/>
      <c r="H13" s="1">
        <f t="shared" ref="H13:H15" si="1">(F13+G13)*1.23</f>
        <v>30750</v>
      </c>
    </row>
    <row r="14" spans="3:11" x14ac:dyDescent="0.3">
      <c r="C14" s="1"/>
      <c r="D14" s="12" t="s">
        <v>44</v>
      </c>
      <c r="E14" s="1" t="s">
        <v>12</v>
      </c>
      <c r="F14" s="1">
        <v>38500</v>
      </c>
      <c r="G14" s="1">
        <v>5500</v>
      </c>
      <c r="H14" s="1">
        <f t="shared" si="1"/>
        <v>54120</v>
      </c>
      <c r="J14" s="17"/>
      <c r="K14" s="17"/>
    </row>
    <row r="15" spans="3:11" x14ac:dyDescent="0.3">
      <c r="C15" s="1"/>
      <c r="D15" s="12" t="s">
        <v>45</v>
      </c>
      <c r="E15" s="1" t="s">
        <v>10</v>
      </c>
      <c r="F15" s="1">
        <v>16000</v>
      </c>
      <c r="G15" s="1">
        <v>6000</v>
      </c>
      <c r="H15" s="1">
        <f t="shared" si="1"/>
        <v>27060</v>
      </c>
      <c r="J15" s="17"/>
      <c r="K15" s="17"/>
    </row>
    <row r="16" spans="3:11" x14ac:dyDescent="0.3">
      <c r="C16" s="17"/>
      <c r="D16" s="17"/>
      <c r="E16" s="17"/>
      <c r="F16" s="22" t="s">
        <v>20</v>
      </c>
      <c r="G16" s="22"/>
      <c r="H16" s="22"/>
    </row>
    <row r="17" spans="3:13" x14ac:dyDescent="0.3">
      <c r="D17" s="21"/>
      <c r="E17" s="21"/>
      <c r="F17" s="1">
        <f>SUM(F7:F14)</f>
        <v>272000</v>
      </c>
      <c r="G17" s="1"/>
      <c r="H17" s="1">
        <f>SUM(H7:H15)</f>
        <v>371460</v>
      </c>
    </row>
    <row r="24" spans="3:13" x14ac:dyDescent="0.3">
      <c r="C24" s="15" t="s">
        <v>77</v>
      </c>
      <c r="D24" s="15"/>
      <c r="E24" s="15"/>
      <c r="F24" s="15"/>
      <c r="G24" s="15"/>
      <c r="H24" s="15"/>
      <c r="I24" s="15"/>
      <c r="J24" s="15"/>
      <c r="K24" s="15"/>
      <c r="L24" s="15"/>
    </row>
    <row r="25" spans="3:13" x14ac:dyDescent="0.3">
      <c r="C25" s="1"/>
      <c r="D25" s="12" t="s">
        <v>39</v>
      </c>
      <c r="E25" s="12" t="s">
        <v>15</v>
      </c>
      <c r="F25" s="12" t="s">
        <v>41</v>
      </c>
      <c r="G25" s="12" t="s">
        <v>42</v>
      </c>
      <c r="H25" s="12" t="s">
        <v>44</v>
      </c>
      <c r="I25" s="12" t="s">
        <v>46</v>
      </c>
      <c r="J25" s="12" t="s">
        <v>47</v>
      </c>
      <c r="K25" s="1"/>
      <c r="L25" s="1" t="s">
        <v>35</v>
      </c>
    </row>
    <row r="26" spans="3:13" x14ac:dyDescent="0.3">
      <c r="C26" s="13" t="s">
        <v>25</v>
      </c>
      <c r="D26" s="11" t="b">
        <v>0</v>
      </c>
      <c r="E26" s="11" t="b">
        <v>1</v>
      </c>
      <c r="F26" s="11" t="b">
        <v>0</v>
      </c>
      <c r="G26" s="11" t="b">
        <v>0</v>
      </c>
      <c r="H26" s="11" t="b">
        <v>1</v>
      </c>
      <c r="I26" s="11" t="b">
        <v>0</v>
      </c>
      <c r="J26" s="11" t="b">
        <v>0</v>
      </c>
      <c r="K26" s="11"/>
      <c r="L26" s="11" t="b">
        <f t="shared" ref="L26:L38" si="2">OR(D26:K26)</f>
        <v>1</v>
      </c>
    </row>
    <row r="27" spans="3:13" x14ac:dyDescent="0.3">
      <c r="C27" s="13" t="s">
        <v>26</v>
      </c>
      <c r="D27" s="11" t="b">
        <v>0</v>
      </c>
      <c r="E27" s="11" t="b">
        <v>0</v>
      </c>
      <c r="F27" s="11" t="b">
        <v>0</v>
      </c>
      <c r="G27" s="11" t="b">
        <v>0</v>
      </c>
      <c r="H27" s="11"/>
      <c r="I27" s="11"/>
      <c r="J27" s="11"/>
      <c r="K27" s="11"/>
      <c r="L27" s="11" t="b">
        <v>1</v>
      </c>
      <c r="M27" t="s">
        <v>78</v>
      </c>
    </row>
    <row r="28" spans="3:13" x14ac:dyDescent="0.3">
      <c r="C28" s="13" t="s">
        <v>27</v>
      </c>
      <c r="D28" s="11" t="b">
        <v>0</v>
      </c>
      <c r="E28" s="11" t="b">
        <v>0</v>
      </c>
      <c r="F28" s="11" t="b">
        <v>1</v>
      </c>
      <c r="G28" s="11" t="b">
        <v>0</v>
      </c>
      <c r="H28" s="11" t="b">
        <v>0</v>
      </c>
      <c r="I28" s="11"/>
      <c r="J28" s="11" t="b">
        <v>0</v>
      </c>
      <c r="K28" s="11"/>
      <c r="L28" s="11" t="b">
        <f t="shared" si="2"/>
        <v>1</v>
      </c>
    </row>
    <row r="29" spans="3:13" x14ac:dyDescent="0.3">
      <c r="C29" s="13" t="s">
        <v>28</v>
      </c>
      <c r="D29" s="11" t="b">
        <v>0</v>
      </c>
      <c r="E29" s="11" t="b">
        <v>0</v>
      </c>
      <c r="F29" s="11" t="b">
        <v>0</v>
      </c>
      <c r="G29" s="11" t="b">
        <v>0</v>
      </c>
      <c r="H29" s="11"/>
      <c r="I29" s="11" t="b">
        <v>0</v>
      </c>
      <c r="J29" s="11"/>
      <c r="K29" s="11"/>
      <c r="L29" s="11" t="b">
        <v>1</v>
      </c>
      <c r="M29" t="s">
        <v>65</v>
      </c>
    </row>
    <row r="30" spans="3:13" x14ac:dyDescent="0.3">
      <c r="C30" s="13" t="s">
        <v>29</v>
      </c>
      <c r="D30" s="11" t="b">
        <v>1</v>
      </c>
      <c r="E30" s="11" t="b">
        <v>0</v>
      </c>
      <c r="F30" s="11" t="b">
        <v>0</v>
      </c>
      <c r="G30" s="11" t="b">
        <v>0</v>
      </c>
      <c r="H30" s="11" t="b">
        <v>1</v>
      </c>
      <c r="I30" s="11"/>
      <c r="J30" s="11" t="b">
        <v>0</v>
      </c>
      <c r="K30" s="11"/>
      <c r="L30" s="11" t="b">
        <f t="shared" si="2"/>
        <v>1</v>
      </c>
    </row>
    <row r="31" spans="3:13" x14ac:dyDescent="0.3">
      <c r="C31" s="13" t="s">
        <v>30</v>
      </c>
      <c r="D31" s="11" t="b">
        <v>1</v>
      </c>
      <c r="E31" s="11" t="b">
        <v>0</v>
      </c>
      <c r="F31" s="11" t="b">
        <v>0</v>
      </c>
      <c r="G31" s="11" t="b">
        <v>0</v>
      </c>
      <c r="H31" s="11"/>
      <c r="I31" s="11" t="b">
        <v>1</v>
      </c>
      <c r="J31" s="11"/>
      <c r="K31" s="11"/>
      <c r="L31" s="11" t="b">
        <f t="shared" si="2"/>
        <v>1</v>
      </c>
    </row>
    <row r="32" spans="3:13" x14ac:dyDescent="0.3">
      <c r="C32" s="13" t="s">
        <v>31</v>
      </c>
      <c r="D32" s="11" t="b">
        <v>0</v>
      </c>
      <c r="E32" s="11" t="b">
        <v>0</v>
      </c>
      <c r="F32" s="11" t="b">
        <v>0</v>
      </c>
      <c r="G32" s="11" t="b">
        <v>1</v>
      </c>
      <c r="H32" s="11" t="b">
        <v>1</v>
      </c>
      <c r="I32" s="11"/>
      <c r="J32" s="11"/>
      <c r="K32" s="11"/>
      <c r="L32" s="11" t="b">
        <f t="shared" si="2"/>
        <v>1</v>
      </c>
    </row>
    <row r="33" spans="3:16" x14ac:dyDescent="0.3">
      <c r="C33" s="13" t="s">
        <v>38</v>
      </c>
      <c r="D33" s="11" t="b">
        <v>0</v>
      </c>
      <c r="E33" s="11" t="b">
        <v>0</v>
      </c>
      <c r="F33" s="11" t="b">
        <v>1</v>
      </c>
      <c r="G33" s="11" t="b">
        <v>0</v>
      </c>
      <c r="H33" s="11"/>
      <c r="I33" s="11"/>
      <c r="J33" s="11" t="b">
        <v>0</v>
      </c>
      <c r="K33" s="11"/>
      <c r="L33" s="11" t="b">
        <f t="shared" si="2"/>
        <v>1</v>
      </c>
    </row>
    <row r="34" spans="3:16" x14ac:dyDescent="0.3">
      <c r="C34" s="13" t="s">
        <v>32</v>
      </c>
      <c r="D34" s="11" t="b">
        <v>0</v>
      </c>
      <c r="E34" s="11" t="b">
        <v>0</v>
      </c>
      <c r="F34" s="11" t="b">
        <v>1</v>
      </c>
      <c r="G34" s="11" t="b">
        <v>0</v>
      </c>
      <c r="H34" s="11"/>
      <c r="I34" s="11"/>
      <c r="J34" s="11"/>
      <c r="K34" s="11"/>
      <c r="L34" s="11" t="b">
        <f t="shared" si="2"/>
        <v>1</v>
      </c>
    </row>
    <row r="35" spans="3:16" x14ac:dyDescent="0.3">
      <c r="C35" s="13" t="s">
        <v>33</v>
      </c>
      <c r="D35" s="11" t="b">
        <v>0</v>
      </c>
      <c r="E35" s="11" t="b">
        <v>0</v>
      </c>
      <c r="F35" s="11" t="b">
        <v>0</v>
      </c>
      <c r="G35" s="11" t="b">
        <v>0</v>
      </c>
      <c r="H35" s="11"/>
      <c r="I35" s="11"/>
      <c r="J35" s="11" t="b">
        <v>0</v>
      </c>
      <c r="K35" s="11"/>
      <c r="L35" s="11" t="b">
        <v>1</v>
      </c>
      <c r="M35" t="s">
        <v>66</v>
      </c>
    </row>
    <row r="36" spans="3:16" x14ac:dyDescent="0.3">
      <c r="C36" s="13" t="s">
        <v>34</v>
      </c>
      <c r="D36" s="11" t="b">
        <v>1</v>
      </c>
      <c r="E36" s="11" t="b">
        <v>0</v>
      </c>
      <c r="F36" s="11" t="b">
        <v>0</v>
      </c>
      <c r="G36" s="11" t="b">
        <v>0</v>
      </c>
      <c r="H36" s="11" t="b">
        <v>1</v>
      </c>
      <c r="I36" s="11"/>
      <c r="J36" s="11" t="b">
        <v>0</v>
      </c>
      <c r="K36" s="11"/>
      <c r="L36" s="11" t="b">
        <f t="shared" si="2"/>
        <v>1</v>
      </c>
    </row>
    <row r="37" spans="3:16" x14ac:dyDescent="0.3">
      <c r="C37" s="13" t="s">
        <v>36</v>
      </c>
      <c r="D37" s="11" t="b">
        <v>0</v>
      </c>
      <c r="E37" s="11" t="b">
        <v>1</v>
      </c>
      <c r="F37" s="11" t="b">
        <v>1</v>
      </c>
      <c r="G37" s="11" t="b">
        <v>0</v>
      </c>
      <c r="H37" s="11" t="b">
        <v>0</v>
      </c>
      <c r="I37" s="11"/>
      <c r="J37" s="11" t="b">
        <v>1</v>
      </c>
      <c r="K37" s="11"/>
      <c r="L37" s="11" t="b">
        <f t="shared" si="2"/>
        <v>1</v>
      </c>
    </row>
    <row r="38" spans="3:16" x14ac:dyDescent="0.3">
      <c r="C38" s="13" t="s">
        <v>37</v>
      </c>
      <c r="D38" s="11" t="b">
        <v>0</v>
      </c>
      <c r="E38" s="11" t="b">
        <v>1</v>
      </c>
      <c r="F38" s="11" t="b">
        <v>0</v>
      </c>
      <c r="G38" s="11" t="b">
        <v>0</v>
      </c>
      <c r="H38" s="11" t="b">
        <v>1</v>
      </c>
      <c r="I38" s="11"/>
      <c r="J38" s="11"/>
      <c r="K38" s="11"/>
      <c r="L38" s="11" t="b">
        <f t="shared" si="2"/>
        <v>1</v>
      </c>
    </row>
    <row r="39" spans="3:16" x14ac:dyDescent="0.3">
      <c r="C39" s="2"/>
      <c r="D39" s="6" t="b">
        <v>0</v>
      </c>
      <c r="E39" s="6" t="b">
        <v>0</v>
      </c>
      <c r="F39" s="6" t="b">
        <v>0</v>
      </c>
      <c r="G39" s="6" t="b">
        <v>0</v>
      </c>
      <c r="H39" s="6" t="b">
        <v>0</v>
      </c>
      <c r="I39" s="2" t="s">
        <v>67</v>
      </c>
      <c r="J39" s="2" t="s">
        <v>68</v>
      </c>
      <c r="K39" s="6"/>
      <c r="L39" s="6" t="b">
        <v>1</v>
      </c>
    </row>
    <row r="42" spans="3:16" x14ac:dyDescent="0.3">
      <c r="E42" s="18" t="s">
        <v>18</v>
      </c>
      <c r="F42" s="18"/>
      <c r="H42" s="19" t="s">
        <v>21</v>
      </c>
      <c r="I42" s="20"/>
      <c r="K42" s="17"/>
      <c r="L42" s="17"/>
      <c r="M42" s="17"/>
      <c r="N42" s="14" t="s">
        <v>48</v>
      </c>
      <c r="O42" s="14"/>
      <c r="P42" s="14"/>
    </row>
    <row r="43" spans="3:16" x14ac:dyDescent="0.3">
      <c r="E43" s="9" t="s">
        <v>19</v>
      </c>
      <c r="F43" s="1">
        <f>H17</f>
        <v>371460</v>
      </c>
      <c r="H43" s="1" t="s">
        <v>52</v>
      </c>
      <c r="I43" s="1">
        <v>10000</v>
      </c>
      <c r="K43" s="16" t="s">
        <v>53</v>
      </c>
      <c r="L43" s="16"/>
      <c r="M43" s="3"/>
      <c r="N43" s="4" t="s">
        <v>69</v>
      </c>
      <c r="O43" s="1" t="s">
        <v>70</v>
      </c>
      <c r="P43" s="1" t="s">
        <v>71</v>
      </c>
    </row>
    <row r="44" spans="3:16" x14ac:dyDescent="0.3">
      <c r="E44" s="7" t="s">
        <v>17</v>
      </c>
      <c r="F44" s="1">
        <v>12000</v>
      </c>
      <c r="H44" s="1" t="s">
        <v>51</v>
      </c>
      <c r="I44" s="1">
        <v>45000</v>
      </c>
      <c r="K44" s="1" t="s">
        <v>57</v>
      </c>
      <c r="L44" s="1">
        <f>2500*1.23</f>
        <v>3075</v>
      </c>
      <c r="N44" s="1" t="s">
        <v>49</v>
      </c>
      <c r="O44" s="1">
        <v>419</v>
      </c>
      <c r="P44" s="1">
        <f>O44*9</f>
        <v>3771</v>
      </c>
    </row>
    <row r="45" spans="3:16" x14ac:dyDescent="0.3">
      <c r="E45" s="8" t="s">
        <v>62</v>
      </c>
      <c r="F45" s="1">
        <f>L56</f>
        <v>45000</v>
      </c>
      <c r="H45" s="1" t="s">
        <v>22</v>
      </c>
      <c r="I45" s="1">
        <v>365000</v>
      </c>
      <c r="K45" s="1" t="s">
        <v>58</v>
      </c>
      <c r="L45" s="1">
        <f>5500 * 1.23</f>
        <v>6765</v>
      </c>
      <c r="N45" s="1" t="s">
        <v>72</v>
      </c>
      <c r="O45" s="1">
        <v>210</v>
      </c>
      <c r="P45" s="1">
        <f>O45*12</f>
        <v>2520</v>
      </c>
    </row>
    <row r="46" spans="3:16" x14ac:dyDescent="0.3">
      <c r="E46" s="1" t="s">
        <v>50</v>
      </c>
      <c r="F46" s="1">
        <v>8000</v>
      </c>
      <c r="H46" s="1" t="s">
        <v>23</v>
      </c>
      <c r="I46" s="1">
        <f>F55</f>
        <v>420000</v>
      </c>
      <c r="K46" s="1" t="s">
        <v>59</v>
      </c>
      <c r="L46" s="1">
        <f>6000*1.23</f>
        <v>7380</v>
      </c>
      <c r="N46" s="1" t="s">
        <v>73</v>
      </c>
      <c r="O46" s="1">
        <v>33.5</v>
      </c>
      <c r="P46" s="1">
        <f t="shared" ref="P46:P55" si="3">O46*12</f>
        <v>402</v>
      </c>
    </row>
    <row r="47" spans="3:16" x14ac:dyDescent="0.3">
      <c r="E47" s="1" t="s">
        <v>60</v>
      </c>
      <c r="F47" s="1">
        <v>760</v>
      </c>
      <c r="H47" s="1" t="s">
        <v>24</v>
      </c>
      <c r="I47" s="1">
        <f>SUM(I43:I45)-I46</f>
        <v>0</v>
      </c>
      <c r="K47" s="1" t="s">
        <v>54</v>
      </c>
      <c r="L47" s="1">
        <v>6000</v>
      </c>
      <c r="N47" s="1" t="s">
        <v>74</v>
      </c>
      <c r="O47" s="1">
        <v>40</v>
      </c>
      <c r="P47" s="1">
        <f t="shared" si="3"/>
        <v>480</v>
      </c>
    </row>
    <row r="48" spans="3:16" x14ac:dyDescent="0.3">
      <c r="E48" s="8" t="s">
        <v>79</v>
      </c>
      <c r="F48" s="1">
        <f>L56-L44-L45-L46</f>
        <v>27780</v>
      </c>
      <c r="K48" s="1" t="s">
        <v>55</v>
      </c>
      <c r="L48" s="1">
        <v>3000</v>
      </c>
      <c r="N48" s="1" t="s">
        <v>75</v>
      </c>
      <c r="O48" s="1">
        <v>140</v>
      </c>
      <c r="P48" s="1">
        <f t="shared" si="3"/>
        <v>1680</v>
      </c>
    </row>
    <row r="49" spans="5:16" x14ac:dyDescent="0.3">
      <c r="E49" s="1"/>
      <c r="F49" s="1"/>
      <c r="K49" s="1" t="s">
        <v>56</v>
      </c>
      <c r="L49" s="1">
        <v>4000</v>
      </c>
      <c r="N49" s="1" t="s">
        <v>76</v>
      </c>
      <c r="O49" s="1">
        <v>28</v>
      </c>
      <c r="P49" s="1">
        <f t="shared" si="3"/>
        <v>336</v>
      </c>
    </row>
    <row r="50" spans="5:16" x14ac:dyDescent="0.3">
      <c r="E50" s="1"/>
      <c r="F50" s="1"/>
      <c r="K50" s="1" t="s">
        <v>61</v>
      </c>
      <c r="L50" s="1">
        <v>13280</v>
      </c>
      <c r="N50" s="1"/>
      <c r="O50" s="1"/>
      <c r="P50" s="1">
        <f t="shared" si="3"/>
        <v>0</v>
      </c>
    </row>
    <row r="51" spans="5:16" x14ac:dyDescent="0.3">
      <c r="E51" s="1"/>
      <c r="F51" s="1"/>
      <c r="K51" s="1" t="s">
        <v>64</v>
      </c>
      <c r="L51" s="1">
        <v>1500</v>
      </c>
      <c r="N51" s="1"/>
      <c r="O51" s="1"/>
      <c r="P51" s="1">
        <f t="shared" si="3"/>
        <v>0</v>
      </c>
    </row>
    <row r="52" spans="5:16" x14ac:dyDescent="0.3">
      <c r="E52" s="1"/>
      <c r="F52" s="1"/>
      <c r="K52" s="1"/>
      <c r="L52" s="1"/>
      <c r="N52" s="1"/>
      <c r="O52" s="1"/>
      <c r="P52" s="1">
        <f t="shared" si="3"/>
        <v>0</v>
      </c>
    </row>
    <row r="53" spans="5:16" x14ac:dyDescent="0.3">
      <c r="E53" s="1"/>
      <c r="F53" s="1"/>
      <c r="K53" s="1"/>
      <c r="L53" s="1"/>
      <c r="N53" s="1"/>
      <c r="O53" s="1"/>
      <c r="P53" s="1">
        <f t="shared" si="3"/>
        <v>0</v>
      </c>
    </row>
    <row r="54" spans="5:16" x14ac:dyDescent="0.3">
      <c r="E54" s="1"/>
      <c r="F54" s="1"/>
      <c r="K54" s="1"/>
      <c r="L54" s="1"/>
      <c r="N54" s="1"/>
      <c r="O54" s="1"/>
      <c r="P54" s="1">
        <f t="shared" si="3"/>
        <v>0</v>
      </c>
    </row>
    <row r="55" spans="5:16" x14ac:dyDescent="0.3">
      <c r="E55" s="1" t="s">
        <v>20</v>
      </c>
      <c r="F55" s="10">
        <f>SUM(F43:F54)-F45</f>
        <v>420000</v>
      </c>
      <c r="K55" s="1"/>
      <c r="L55" s="1"/>
      <c r="N55" s="1"/>
      <c r="O55" s="1"/>
      <c r="P55" s="1">
        <f t="shared" si="3"/>
        <v>0</v>
      </c>
    </row>
    <row r="56" spans="5:16" x14ac:dyDescent="0.3">
      <c r="K56" s="1" t="s">
        <v>20</v>
      </c>
      <c r="L56" s="1">
        <f>SUM(L43:L55)</f>
        <v>45000</v>
      </c>
      <c r="N56" s="1" t="s">
        <v>20</v>
      </c>
      <c r="O56" s="1">
        <f>SUM(O44:O49)</f>
        <v>870.5</v>
      </c>
      <c r="P56" s="1">
        <f>SUM(P44:P55)</f>
        <v>9189</v>
      </c>
    </row>
    <row r="57" spans="5:16" x14ac:dyDescent="0.3">
      <c r="N57" s="1" t="s">
        <v>80</v>
      </c>
      <c r="O57" s="1">
        <f>1000-O56</f>
        <v>129.5</v>
      </c>
      <c r="P57" s="1">
        <f>12000-P56</f>
        <v>2811</v>
      </c>
    </row>
    <row r="60" spans="5:16" x14ac:dyDescent="0.3">
      <c r="I60" s="5"/>
    </row>
  </sheetData>
  <mergeCells count="13">
    <mergeCell ref="C5:H5"/>
    <mergeCell ref="F16:H16"/>
    <mergeCell ref="N42:P42"/>
    <mergeCell ref="C24:L24"/>
    <mergeCell ref="J6:K6"/>
    <mergeCell ref="K43:L43"/>
    <mergeCell ref="J15:K15"/>
    <mergeCell ref="E42:F42"/>
    <mergeCell ref="H42:I42"/>
    <mergeCell ref="K42:M42"/>
    <mergeCell ref="C16:E16"/>
    <mergeCell ref="D17:E17"/>
    <mergeCell ref="J14:K14"/>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3</xdr:col>
                    <xdr:colOff>617220</xdr:colOff>
                    <xdr:row>25</xdr:row>
                    <xdr:rowOff>175260</xdr:rowOff>
                  </from>
                  <to>
                    <xdr:col>3</xdr:col>
                    <xdr:colOff>861060</xdr:colOff>
                    <xdr:row>27</xdr:row>
                    <xdr:rowOff>22860</xdr:rowOff>
                  </to>
                </anchor>
              </controlPr>
            </control>
          </mc:Choice>
        </mc:AlternateContent>
        <mc:AlternateContent xmlns:mc="http://schemas.openxmlformats.org/markup-compatibility/2006">
          <mc:Choice Requires="x14">
            <control shapeId="1029" r:id="rId5" name="Check Box 5">
              <controlPr defaultSize="0" autoFill="0" autoLine="0" autoPict="0">
                <anchor moveWithCells="1">
                  <from>
                    <xdr:col>5</xdr:col>
                    <xdr:colOff>617220</xdr:colOff>
                    <xdr:row>25</xdr:row>
                    <xdr:rowOff>175260</xdr:rowOff>
                  </from>
                  <to>
                    <xdr:col>5</xdr:col>
                    <xdr:colOff>861060</xdr:colOff>
                    <xdr:row>27</xdr:row>
                    <xdr:rowOff>22860</xdr:rowOff>
                  </to>
                </anchor>
              </controlPr>
            </control>
          </mc:Choice>
        </mc:AlternateContent>
        <mc:AlternateContent xmlns:mc="http://schemas.openxmlformats.org/markup-compatibility/2006">
          <mc:Choice Requires="x14">
            <control shapeId="1030" r:id="rId6" name="Check Box 6">
              <controlPr defaultSize="0" autoFill="0" autoLine="0" autoPict="0">
                <anchor moveWithCells="1">
                  <from>
                    <xdr:col>6</xdr:col>
                    <xdr:colOff>617220</xdr:colOff>
                    <xdr:row>25</xdr:row>
                    <xdr:rowOff>175260</xdr:rowOff>
                  </from>
                  <to>
                    <xdr:col>6</xdr:col>
                    <xdr:colOff>861060</xdr:colOff>
                    <xdr:row>27</xdr:row>
                    <xdr:rowOff>22860</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7</xdr:col>
                    <xdr:colOff>617220</xdr:colOff>
                    <xdr:row>25</xdr:row>
                    <xdr:rowOff>175260</xdr:rowOff>
                  </from>
                  <to>
                    <xdr:col>7</xdr:col>
                    <xdr:colOff>861060</xdr:colOff>
                    <xdr:row>27</xdr:row>
                    <xdr:rowOff>22860</xdr:rowOff>
                  </to>
                </anchor>
              </controlPr>
            </control>
          </mc:Choice>
        </mc:AlternateContent>
        <mc:AlternateContent xmlns:mc="http://schemas.openxmlformats.org/markup-compatibility/2006">
          <mc:Choice Requires="x14">
            <control shapeId="1032" r:id="rId8" name="Check Box 8">
              <controlPr defaultSize="0" autoFill="0" autoLine="0" autoPict="0">
                <anchor moveWithCells="1">
                  <from>
                    <xdr:col>8</xdr:col>
                    <xdr:colOff>617220</xdr:colOff>
                    <xdr:row>25</xdr:row>
                    <xdr:rowOff>175260</xdr:rowOff>
                  </from>
                  <to>
                    <xdr:col>8</xdr:col>
                    <xdr:colOff>861060</xdr:colOff>
                    <xdr:row>27</xdr:row>
                    <xdr:rowOff>22860</xdr:rowOff>
                  </to>
                </anchor>
              </controlPr>
            </control>
          </mc:Choice>
        </mc:AlternateContent>
        <mc:AlternateContent xmlns:mc="http://schemas.openxmlformats.org/markup-compatibility/2006">
          <mc:Choice Requires="x14">
            <control shapeId="1033" r:id="rId9" name="Check Box 9">
              <controlPr defaultSize="0" autoFill="0" autoLine="0" autoPict="0">
                <anchor moveWithCells="1">
                  <from>
                    <xdr:col>9</xdr:col>
                    <xdr:colOff>617220</xdr:colOff>
                    <xdr:row>25</xdr:row>
                    <xdr:rowOff>175260</xdr:rowOff>
                  </from>
                  <to>
                    <xdr:col>9</xdr:col>
                    <xdr:colOff>861060</xdr:colOff>
                    <xdr:row>27</xdr:row>
                    <xdr:rowOff>22860</xdr:rowOff>
                  </to>
                </anchor>
              </controlPr>
            </control>
          </mc:Choice>
        </mc:AlternateContent>
        <mc:AlternateContent xmlns:mc="http://schemas.openxmlformats.org/markup-compatibility/2006">
          <mc:Choice Requires="x14">
            <control shapeId="1034" r:id="rId10" name="Check Box 10">
              <controlPr defaultSize="0" autoFill="0" autoLine="0" autoPict="0">
                <anchor moveWithCells="1">
                  <from>
                    <xdr:col>10</xdr:col>
                    <xdr:colOff>617220</xdr:colOff>
                    <xdr:row>25</xdr:row>
                    <xdr:rowOff>175260</xdr:rowOff>
                  </from>
                  <to>
                    <xdr:col>10</xdr:col>
                    <xdr:colOff>861060</xdr:colOff>
                    <xdr:row>27</xdr:row>
                    <xdr:rowOff>22860</xdr:rowOff>
                  </to>
                </anchor>
              </controlPr>
            </control>
          </mc:Choice>
        </mc:AlternateContent>
        <mc:AlternateContent xmlns:mc="http://schemas.openxmlformats.org/markup-compatibility/2006">
          <mc:Choice Requires="x14">
            <control shapeId="1035" r:id="rId11" name="Check Box 11">
              <controlPr defaultSize="0" autoFill="0" autoLine="0" autoPict="0">
                <anchor moveWithCells="1">
                  <from>
                    <xdr:col>3</xdr:col>
                    <xdr:colOff>617220</xdr:colOff>
                    <xdr:row>26</xdr:row>
                    <xdr:rowOff>175260</xdr:rowOff>
                  </from>
                  <to>
                    <xdr:col>3</xdr:col>
                    <xdr:colOff>861060</xdr:colOff>
                    <xdr:row>28</xdr:row>
                    <xdr:rowOff>22860</xdr:rowOff>
                  </to>
                </anchor>
              </controlPr>
            </control>
          </mc:Choice>
        </mc:AlternateContent>
        <mc:AlternateContent xmlns:mc="http://schemas.openxmlformats.org/markup-compatibility/2006">
          <mc:Choice Requires="x14">
            <control shapeId="1036" r:id="rId12" name="Check Box 12">
              <controlPr defaultSize="0" autoFill="0" autoLine="0" autoPict="0">
                <anchor moveWithCells="1">
                  <from>
                    <xdr:col>3</xdr:col>
                    <xdr:colOff>617220</xdr:colOff>
                    <xdr:row>27</xdr:row>
                    <xdr:rowOff>175260</xdr:rowOff>
                  </from>
                  <to>
                    <xdr:col>3</xdr:col>
                    <xdr:colOff>861060</xdr:colOff>
                    <xdr:row>29</xdr:row>
                    <xdr:rowOff>22860</xdr:rowOff>
                  </to>
                </anchor>
              </controlPr>
            </control>
          </mc:Choice>
        </mc:AlternateContent>
        <mc:AlternateContent xmlns:mc="http://schemas.openxmlformats.org/markup-compatibility/2006">
          <mc:Choice Requires="x14">
            <control shapeId="1037" r:id="rId13" name="Check Box 13">
              <controlPr defaultSize="0" autoFill="0" autoLine="0" autoPict="0">
                <anchor moveWithCells="1">
                  <from>
                    <xdr:col>3</xdr:col>
                    <xdr:colOff>617220</xdr:colOff>
                    <xdr:row>28</xdr:row>
                    <xdr:rowOff>175260</xdr:rowOff>
                  </from>
                  <to>
                    <xdr:col>3</xdr:col>
                    <xdr:colOff>861060</xdr:colOff>
                    <xdr:row>30</xdr:row>
                    <xdr:rowOff>22860</xdr:rowOff>
                  </to>
                </anchor>
              </controlPr>
            </control>
          </mc:Choice>
        </mc:AlternateContent>
        <mc:AlternateContent xmlns:mc="http://schemas.openxmlformats.org/markup-compatibility/2006">
          <mc:Choice Requires="x14">
            <control shapeId="1038" r:id="rId14" name="Check Box 14">
              <controlPr defaultSize="0" autoFill="0" autoLine="0" autoPict="0">
                <anchor moveWithCells="1">
                  <from>
                    <xdr:col>3</xdr:col>
                    <xdr:colOff>617220</xdr:colOff>
                    <xdr:row>29</xdr:row>
                    <xdr:rowOff>175260</xdr:rowOff>
                  </from>
                  <to>
                    <xdr:col>3</xdr:col>
                    <xdr:colOff>861060</xdr:colOff>
                    <xdr:row>31</xdr:row>
                    <xdr:rowOff>22860</xdr:rowOff>
                  </to>
                </anchor>
              </controlPr>
            </control>
          </mc:Choice>
        </mc:AlternateContent>
        <mc:AlternateContent xmlns:mc="http://schemas.openxmlformats.org/markup-compatibility/2006">
          <mc:Choice Requires="x14">
            <control shapeId="1039" r:id="rId15" name="Check Box 15">
              <controlPr defaultSize="0" autoFill="0" autoLine="0" autoPict="0">
                <anchor moveWithCells="1">
                  <from>
                    <xdr:col>3</xdr:col>
                    <xdr:colOff>617220</xdr:colOff>
                    <xdr:row>30</xdr:row>
                    <xdr:rowOff>175260</xdr:rowOff>
                  </from>
                  <to>
                    <xdr:col>3</xdr:col>
                    <xdr:colOff>861060</xdr:colOff>
                    <xdr:row>32</xdr:row>
                    <xdr:rowOff>22860</xdr:rowOff>
                  </to>
                </anchor>
              </controlPr>
            </control>
          </mc:Choice>
        </mc:AlternateContent>
        <mc:AlternateContent xmlns:mc="http://schemas.openxmlformats.org/markup-compatibility/2006">
          <mc:Choice Requires="x14">
            <control shapeId="1040" r:id="rId16" name="Check Box 16">
              <controlPr defaultSize="0" autoFill="0" autoLine="0" autoPict="0">
                <anchor moveWithCells="1">
                  <from>
                    <xdr:col>3</xdr:col>
                    <xdr:colOff>617220</xdr:colOff>
                    <xdr:row>31</xdr:row>
                    <xdr:rowOff>175260</xdr:rowOff>
                  </from>
                  <to>
                    <xdr:col>3</xdr:col>
                    <xdr:colOff>861060</xdr:colOff>
                    <xdr:row>33</xdr:row>
                    <xdr:rowOff>22860</xdr:rowOff>
                  </to>
                </anchor>
              </controlPr>
            </control>
          </mc:Choice>
        </mc:AlternateContent>
        <mc:AlternateContent xmlns:mc="http://schemas.openxmlformats.org/markup-compatibility/2006">
          <mc:Choice Requires="x14">
            <control shapeId="1041" r:id="rId17" name="Check Box 17">
              <controlPr defaultSize="0" autoFill="0" autoLine="0" autoPict="0">
                <anchor moveWithCells="1">
                  <from>
                    <xdr:col>3</xdr:col>
                    <xdr:colOff>617220</xdr:colOff>
                    <xdr:row>32</xdr:row>
                    <xdr:rowOff>175260</xdr:rowOff>
                  </from>
                  <to>
                    <xdr:col>3</xdr:col>
                    <xdr:colOff>861060</xdr:colOff>
                    <xdr:row>34</xdr:row>
                    <xdr:rowOff>22860</xdr:rowOff>
                  </to>
                </anchor>
              </controlPr>
            </control>
          </mc:Choice>
        </mc:AlternateContent>
        <mc:AlternateContent xmlns:mc="http://schemas.openxmlformats.org/markup-compatibility/2006">
          <mc:Choice Requires="x14">
            <control shapeId="1042" r:id="rId18" name="Check Box 18">
              <controlPr defaultSize="0" autoFill="0" autoLine="0" autoPict="0">
                <anchor moveWithCells="1">
                  <from>
                    <xdr:col>3</xdr:col>
                    <xdr:colOff>617220</xdr:colOff>
                    <xdr:row>33</xdr:row>
                    <xdr:rowOff>175260</xdr:rowOff>
                  </from>
                  <to>
                    <xdr:col>3</xdr:col>
                    <xdr:colOff>861060</xdr:colOff>
                    <xdr:row>35</xdr:row>
                    <xdr:rowOff>22860</xdr:rowOff>
                  </to>
                </anchor>
              </controlPr>
            </control>
          </mc:Choice>
        </mc:AlternateContent>
        <mc:AlternateContent xmlns:mc="http://schemas.openxmlformats.org/markup-compatibility/2006">
          <mc:Choice Requires="x14">
            <control shapeId="1043" r:id="rId19" name="Check Box 19">
              <controlPr defaultSize="0" autoFill="0" autoLine="0" autoPict="0">
                <anchor moveWithCells="1">
                  <from>
                    <xdr:col>3</xdr:col>
                    <xdr:colOff>617220</xdr:colOff>
                    <xdr:row>34</xdr:row>
                    <xdr:rowOff>175260</xdr:rowOff>
                  </from>
                  <to>
                    <xdr:col>3</xdr:col>
                    <xdr:colOff>861060</xdr:colOff>
                    <xdr:row>36</xdr:row>
                    <xdr:rowOff>22860</xdr:rowOff>
                  </to>
                </anchor>
              </controlPr>
            </control>
          </mc:Choice>
        </mc:AlternateContent>
        <mc:AlternateContent xmlns:mc="http://schemas.openxmlformats.org/markup-compatibility/2006">
          <mc:Choice Requires="x14">
            <control shapeId="1044" r:id="rId20" name="Check Box 20">
              <controlPr defaultSize="0" autoFill="0" autoLine="0" autoPict="0">
                <anchor moveWithCells="1">
                  <from>
                    <xdr:col>3</xdr:col>
                    <xdr:colOff>617220</xdr:colOff>
                    <xdr:row>35</xdr:row>
                    <xdr:rowOff>175260</xdr:rowOff>
                  </from>
                  <to>
                    <xdr:col>3</xdr:col>
                    <xdr:colOff>861060</xdr:colOff>
                    <xdr:row>37</xdr:row>
                    <xdr:rowOff>22860</xdr:rowOff>
                  </to>
                </anchor>
              </controlPr>
            </control>
          </mc:Choice>
        </mc:AlternateContent>
        <mc:AlternateContent xmlns:mc="http://schemas.openxmlformats.org/markup-compatibility/2006">
          <mc:Choice Requires="x14">
            <control shapeId="1045" r:id="rId21" name="Check Box 21">
              <controlPr defaultSize="0" autoFill="0" autoLine="0" autoPict="0">
                <anchor moveWithCells="1">
                  <from>
                    <xdr:col>3</xdr:col>
                    <xdr:colOff>617220</xdr:colOff>
                    <xdr:row>36</xdr:row>
                    <xdr:rowOff>175260</xdr:rowOff>
                  </from>
                  <to>
                    <xdr:col>3</xdr:col>
                    <xdr:colOff>861060</xdr:colOff>
                    <xdr:row>38</xdr:row>
                    <xdr:rowOff>22860</xdr:rowOff>
                  </to>
                </anchor>
              </controlPr>
            </control>
          </mc:Choice>
        </mc:AlternateContent>
        <mc:AlternateContent xmlns:mc="http://schemas.openxmlformats.org/markup-compatibility/2006">
          <mc:Choice Requires="x14">
            <control shapeId="1047" r:id="rId22" name="Check Box 23">
              <controlPr defaultSize="0" autoFill="0" autoLine="0" autoPict="0">
                <anchor moveWithCells="1">
                  <from>
                    <xdr:col>3</xdr:col>
                    <xdr:colOff>617220</xdr:colOff>
                    <xdr:row>24</xdr:row>
                    <xdr:rowOff>175260</xdr:rowOff>
                  </from>
                  <to>
                    <xdr:col>3</xdr:col>
                    <xdr:colOff>861060</xdr:colOff>
                    <xdr:row>26</xdr:row>
                    <xdr:rowOff>22860</xdr:rowOff>
                  </to>
                </anchor>
              </controlPr>
            </control>
          </mc:Choice>
        </mc:AlternateContent>
        <mc:AlternateContent xmlns:mc="http://schemas.openxmlformats.org/markup-compatibility/2006">
          <mc:Choice Requires="x14">
            <control shapeId="1048" r:id="rId23" name="Check Box 24">
              <controlPr defaultSize="0" autoFill="0" autoLine="0" autoPict="0">
                <anchor moveWithCells="1">
                  <from>
                    <xdr:col>4</xdr:col>
                    <xdr:colOff>617220</xdr:colOff>
                    <xdr:row>24</xdr:row>
                    <xdr:rowOff>175260</xdr:rowOff>
                  </from>
                  <to>
                    <xdr:col>4</xdr:col>
                    <xdr:colOff>861060</xdr:colOff>
                    <xdr:row>26</xdr:row>
                    <xdr:rowOff>22860</xdr:rowOff>
                  </to>
                </anchor>
              </controlPr>
            </control>
          </mc:Choice>
        </mc:AlternateContent>
        <mc:AlternateContent xmlns:mc="http://schemas.openxmlformats.org/markup-compatibility/2006">
          <mc:Choice Requires="x14">
            <control shapeId="1049" r:id="rId24" name="Check Box 25">
              <controlPr defaultSize="0" autoFill="0" autoLine="0" autoPict="0">
                <anchor moveWithCells="1">
                  <from>
                    <xdr:col>5</xdr:col>
                    <xdr:colOff>617220</xdr:colOff>
                    <xdr:row>24</xdr:row>
                    <xdr:rowOff>175260</xdr:rowOff>
                  </from>
                  <to>
                    <xdr:col>5</xdr:col>
                    <xdr:colOff>861060</xdr:colOff>
                    <xdr:row>26</xdr:row>
                    <xdr:rowOff>22860</xdr:rowOff>
                  </to>
                </anchor>
              </controlPr>
            </control>
          </mc:Choice>
        </mc:AlternateContent>
        <mc:AlternateContent xmlns:mc="http://schemas.openxmlformats.org/markup-compatibility/2006">
          <mc:Choice Requires="x14">
            <control shapeId="1050" r:id="rId25" name="Check Box 26">
              <controlPr defaultSize="0" autoFill="0" autoLine="0" autoPict="0">
                <anchor moveWithCells="1">
                  <from>
                    <xdr:col>6</xdr:col>
                    <xdr:colOff>617220</xdr:colOff>
                    <xdr:row>24</xdr:row>
                    <xdr:rowOff>175260</xdr:rowOff>
                  </from>
                  <to>
                    <xdr:col>6</xdr:col>
                    <xdr:colOff>861060</xdr:colOff>
                    <xdr:row>26</xdr:row>
                    <xdr:rowOff>22860</xdr:rowOff>
                  </to>
                </anchor>
              </controlPr>
            </control>
          </mc:Choice>
        </mc:AlternateContent>
        <mc:AlternateContent xmlns:mc="http://schemas.openxmlformats.org/markup-compatibility/2006">
          <mc:Choice Requires="x14">
            <control shapeId="1051" r:id="rId26" name="Check Box 27">
              <controlPr defaultSize="0" autoFill="0" autoLine="0" autoPict="0">
                <anchor moveWithCells="1">
                  <from>
                    <xdr:col>7</xdr:col>
                    <xdr:colOff>617220</xdr:colOff>
                    <xdr:row>24</xdr:row>
                    <xdr:rowOff>175260</xdr:rowOff>
                  </from>
                  <to>
                    <xdr:col>7</xdr:col>
                    <xdr:colOff>861060</xdr:colOff>
                    <xdr:row>26</xdr:row>
                    <xdr:rowOff>22860</xdr:rowOff>
                  </to>
                </anchor>
              </controlPr>
            </control>
          </mc:Choice>
        </mc:AlternateContent>
        <mc:AlternateContent xmlns:mc="http://schemas.openxmlformats.org/markup-compatibility/2006">
          <mc:Choice Requires="x14">
            <control shapeId="1052" r:id="rId27" name="Check Box 28">
              <controlPr defaultSize="0" autoFill="0" autoLine="0" autoPict="0">
                <anchor moveWithCells="1">
                  <from>
                    <xdr:col>8</xdr:col>
                    <xdr:colOff>617220</xdr:colOff>
                    <xdr:row>24</xdr:row>
                    <xdr:rowOff>175260</xdr:rowOff>
                  </from>
                  <to>
                    <xdr:col>8</xdr:col>
                    <xdr:colOff>861060</xdr:colOff>
                    <xdr:row>26</xdr:row>
                    <xdr:rowOff>22860</xdr:rowOff>
                  </to>
                </anchor>
              </controlPr>
            </control>
          </mc:Choice>
        </mc:AlternateContent>
        <mc:AlternateContent xmlns:mc="http://schemas.openxmlformats.org/markup-compatibility/2006">
          <mc:Choice Requires="x14">
            <control shapeId="1053" r:id="rId28" name="Check Box 29">
              <controlPr defaultSize="0" autoFill="0" autoLine="0" autoPict="0">
                <anchor moveWithCells="1">
                  <from>
                    <xdr:col>9</xdr:col>
                    <xdr:colOff>617220</xdr:colOff>
                    <xdr:row>24</xdr:row>
                    <xdr:rowOff>175260</xdr:rowOff>
                  </from>
                  <to>
                    <xdr:col>9</xdr:col>
                    <xdr:colOff>861060</xdr:colOff>
                    <xdr:row>26</xdr:row>
                    <xdr:rowOff>22860</xdr:rowOff>
                  </to>
                </anchor>
              </controlPr>
            </control>
          </mc:Choice>
        </mc:AlternateContent>
        <mc:AlternateContent xmlns:mc="http://schemas.openxmlformats.org/markup-compatibility/2006">
          <mc:Choice Requires="x14">
            <control shapeId="1054" r:id="rId29" name="Check Box 30">
              <controlPr defaultSize="0" autoFill="0" autoLine="0" autoPict="0">
                <anchor moveWithCells="1">
                  <from>
                    <xdr:col>10</xdr:col>
                    <xdr:colOff>617220</xdr:colOff>
                    <xdr:row>24</xdr:row>
                    <xdr:rowOff>175260</xdr:rowOff>
                  </from>
                  <to>
                    <xdr:col>10</xdr:col>
                    <xdr:colOff>861060</xdr:colOff>
                    <xdr:row>26</xdr:row>
                    <xdr:rowOff>22860</xdr:rowOff>
                  </to>
                </anchor>
              </controlPr>
            </control>
          </mc:Choice>
        </mc:AlternateContent>
        <mc:AlternateContent xmlns:mc="http://schemas.openxmlformats.org/markup-compatibility/2006">
          <mc:Choice Requires="x14">
            <control shapeId="1055" r:id="rId30" name="Check Box 31">
              <controlPr defaultSize="0" autoFill="0" autoLine="0" autoPict="0">
                <anchor moveWithCells="1">
                  <from>
                    <xdr:col>4</xdr:col>
                    <xdr:colOff>617220</xdr:colOff>
                    <xdr:row>25</xdr:row>
                    <xdr:rowOff>175260</xdr:rowOff>
                  </from>
                  <to>
                    <xdr:col>4</xdr:col>
                    <xdr:colOff>861060</xdr:colOff>
                    <xdr:row>27</xdr:row>
                    <xdr:rowOff>22860</xdr:rowOff>
                  </to>
                </anchor>
              </controlPr>
            </control>
          </mc:Choice>
        </mc:AlternateContent>
        <mc:AlternateContent xmlns:mc="http://schemas.openxmlformats.org/markup-compatibility/2006">
          <mc:Choice Requires="x14">
            <control shapeId="1056" r:id="rId31" name="Check Box 32">
              <controlPr defaultSize="0" autoFill="0" autoLine="0" autoPict="0">
                <anchor moveWithCells="1">
                  <from>
                    <xdr:col>4</xdr:col>
                    <xdr:colOff>617220</xdr:colOff>
                    <xdr:row>26</xdr:row>
                    <xdr:rowOff>175260</xdr:rowOff>
                  </from>
                  <to>
                    <xdr:col>4</xdr:col>
                    <xdr:colOff>861060</xdr:colOff>
                    <xdr:row>28</xdr:row>
                    <xdr:rowOff>22860</xdr:rowOff>
                  </to>
                </anchor>
              </controlPr>
            </control>
          </mc:Choice>
        </mc:AlternateContent>
        <mc:AlternateContent xmlns:mc="http://schemas.openxmlformats.org/markup-compatibility/2006">
          <mc:Choice Requires="x14">
            <control shapeId="1057" r:id="rId32" name="Check Box 33">
              <controlPr defaultSize="0" autoFill="0" autoLine="0" autoPict="0">
                <anchor moveWithCells="1">
                  <from>
                    <xdr:col>4</xdr:col>
                    <xdr:colOff>617220</xdr:colOff>
                    <xdr:row>27</xdr:row>
                    <xdr:rowOff>175260</xdr:rowOff>
                  </from>
                  <to>
                    <xdr:col>4</xdr:col>
                    <xdr:colOff>861060</xdr:colOff>
                    <xdr:row>29</xdr:row>
                    <xdr:rowOff>22860</xdr:rowOff>
                  </to>
                </anchor>
              </controlPr>
            </control>
          </mc:Choice>
        </mc:AlternateContent>
        <mc:AlternateContent xmlns:mc="http://schemas.openxmlformats.org/markup-compatibility/2006">
          <mc:Choice Requires="x14">
            <control shapeId="1058" r:id="rId33" name="Check Box 34">
              <controlPr defaultSize="0" autoFill="0" autoLine="0" autoPict="0">
                <anchor moveWithCells="1">
                  <from>
                    <xdr:col>4</xdr:col>
                    <xdr:colOff>617220</xdr:colOff>
                    <xdr:row>28</xdr:row>
                    <xdr:rowOff>175260</xdr:rowOff>
                  </from>
                  <to>
                    <xdr:col>4</xdr:col>
                    <xdr:colOff>861060</xdr:colOff>
                    <xdr:row>30</xdr:row>
                    <xdr:rowOff>22860</xdr:rowOff>
                  </to>
                </anchor>
              </controlPr>
            </control>
          </mc:Choice>
        </mc:AlternateContent>
        <mc:AlternateContent xmlns:mc="http://schemas.openxmlformats.org/markup-compatibility/2006">
          <mc:Choice Requires="x14">
            <control shapeId="1059" r:id="rId34" name="Check Box 35">
              <controlPr defaultSize="0" autoFill="0" autoLine="0" autoPict="0">
                <anchor moveWithCells="1">
                  <from>
                    <xdr:col>4</xdr:col>
                    <xdr:colOff>617220</xdr:colOff>
                    <xdr:row>29</xdr:row>
                    <xdr:rowOff>175260</xdr:rowOff>
                  </from>
                  <to>
                    <xdr:col>4</xdr:col>
                    <xdr:colOff>861060</xdr:colOff>
                    <xdr:row>31</xdr:row>
                    <xdr:rowOff>22860</xdr:rowOff>
                  </to>
                </anchor>
              </controlPr>
            </control>
          </mc:Choice>
        </mc:AlternateContent>
        <mc:AlternateContent xmlns:mc="http://schemas.openxmlformats.org/markup-compatibility/2006">
          <mc:Choice Requires="x14">
            <control shapeId="1060" r:id="rId35" name="Check Box 36">
              <controlPr defaultSize="0" autoFill="0" autoLine="0" autoPict="0">
                <anchor moveWithCells="1">
                  <from>
                    <xdr:col>4</xdr:col>
                    <xdr:colOff>617220</xdr:colOff>
                    <xdr:row>30</xdr:row>
                    <xdr:rowOff>175260</xdr:rowOff>
                  </from>
                  <to>
                    <xdr:col>4</xdr:col>
                    <xdr:colOff>861060</xdr:colOff>
                    <xdr:row>32</xdr:row>
                    <xdr:rowOff>22860</xdr:rowOff>
                  </to>
                </anchor>
              </controlPr>
            </control>
          </mc:Choice>
        </mc:AlternateContent>
        <mc:AlternateContent xmlns:mc="http://schemas.openxmlformats.org/markup-compatibility/2006">
          <mc:Choice Requires="x14">
            <control shapeId="1061" r:id="rId36" name="Check Box 37">
              <controlPr defaultSize="0" autoFill="0" autoLine="0" autoPict="0">
                <anchor moveWithCells="1">
                  <from>
                    <xdr:col>4</xdr:col>
                    <xdr:colOff>617220</xdr:colOff>
                    <xdr:row>31</xdr:row>
                    <xdr:rowOff>175260</xdr:rowOff>
                  </from>
                  <to>
                    <xdr:col>4</xdr:col>
                    <xdr:colOff>861060</xdr:colOff>
                    <xdr:row>33</xdr:row>
                    <xdr:rowOff>22860</xdr:rowOff>
                  </to>
                </anchor>
              </controlPr>
            </control>
          </mc:Choice>
        </mc:AlternateContent>
        <mc:AlternateContent xmlns:mc="http://schemas.openxmlformats.org/markup-compatibility/2006">
          <mc:Choice Requires="x14">
            <control shapeId="1062" r:id="rId37" name="Check Box 38">
              <controlPr defaultSize="0" autoFill="0" autoLine="0" autoPict="0">
                <anchor moveWithCells="1">
                  <from>
                    <xdr:col>4</xdr:col>
                    <xdr:colOff>617220</xdr:colOff>
                    <xdr:row>32</xdr:row>
                    <xdr:rowOff>175260</xdr:rowOff>
                  </from>
                  <to>
                    <xdr:col>4</xdr:col>
                    <xdr:colOff>861060</xdr:colOff>
                    <xdr:row>34</xdr:row>
                    <xdr:rowOff>22860</xdr:rowOff>
                  </to>
                </anchor>
              </controlPr>
            </control>
          </mc:Choice>
        </mc:AlternateContent>
        <mc:AlternateContent xmlns:mc="http://schemas.openxmlformats.org/markup-compatibility/2006">
          <mc:Choice Requires="x14">
            <control shapeId="1063" r:id="rId38" name="Check Box 39">
              <controlPr defaultSize="0" autoFill="0" autoLine="0" autoPict="0">
                <anchor moveWithCells="1">
                  <from>
                    <xdr:col>4</xdr:col>
                    <xdr:colOff>617220</xdr:colOff>
                    <xdr:row>33</xdr:row>
                    <xdr:rowOff>175260</xdr:rowOff>
                  </from>
                  <to>
                    <xdr:col>4</xdr:col>
                    <xdr:colOff>861060</xdr:colOff>
                    <xdr:row>35</xdr:row>
                    <xdr:rowOff>22860</xdr:rowOff>
                  </to>
                </anchor>
              </controlPr>
            </control>
          </mc:Choice>
        </mc:AlternateContent>
        <mc:AlternateContent xmlns:mc="http://schemas.openxmlformats.org/markup-compatibility/2006">
          <mc:Choice Requires="x14">
            <control shapeId="1064" r:id="rId39" name="Check Box 40">
              <controlPr defaultSize="0" autoFill="0" autoLine="0" autoPict="0">
                <anchor moveWithCells="1">
                  <from>
                    <xdr:col>4</xdr:col>
                    <xdr:colOff>617220</xdr:colOff>
                    <xdr:row>34</xdr:row>
                    <xdr:rowOff>175260</xdr:rowOff>
                  </from>
                  <to>
                    <xdr:col>4</xdr:col>
                    <xdr:colOff>861060</xdr:colOff>
                    <xdr:row>36</xdr:row>
                    <xdr:rowOff>22860</xdr:rowOff>
                  </to>
                </anchor>
              </controlPr>
            </control>
          </mc:Choice>
        </mc:AlternateContent>
        <mc:AlternateContent xmlns:mc="http://schemas.openxmlformats.org/markup-compatibility/2006">
          <mc:Choice Requires="x14">
            <control shapeId="1065" r:id="rId40" name="Check Box 41">
              <controlPr defaultSize="0" autoFill="0" autoLine="0" autoPict="0">
                <anchor moveWithCells="1">
                  <from>
                    <xdr:col>4</xdr:col>
                    <xdr:colOff>617220</xdr:colOff>
                    <xdr:row>35</xdr:row>
                    <xdr:rowOff>175260</xdr:rowOff>
                  </from>
                  <to>
                    <xdr:col>4</xdr:col>
                    <xdr:colOff>861060</xdr:colOff>
                    <xdr:row>37</xdr:row>
                    <xdr:rowOff>22860</xdr:rowOff>
                  </to>
                </anchor>
              </controlPr>
            </control>
          </mc:Choice>
        </mc:AlternateContent>
        <mc:AlternateContent xmlns:mc="http://schemas.openxmlformats.org/markup-compatibility/2006">
          <mc:Choice Requires="x14">
            <control shapeId="1066" r:id="rId41" name="Check Box 42">
              <controlPr defaultSize="0" autoFill="0" autoLine="0" autoPict="0">
                <anchor moveWithCells="1">
                  <from>
                    <xdr:col>4</xdr:col>
                    <xdr:colOff>617220</xdr:colOff>
                    <xdr:row>36</xdr:row>
                    <xdr:rowOff>175260</xdr:rowOff>
                  </from>
                  <to>
                    <xdr:col>4</xdr:col>
                    <xdr:colOff>861060</xdr:colOff>
                    <xdr:row>38</xdr:row>
                    <xdr:rowOff>22860</xdr:rowOff>
                  </to>
                </anchor>
              </controlPr>
            </control>
          </mc:Choice>
        </mc:AlternateContent>
        <mc:AlternateContent xmlns:mc="http://schemas.openxmlformats.org/markup-compatibility/2006">
          <mc:Choice Requires="x14">
            <control shapeId="1068" r:id="rId42" name="Check Box 44">
              <controlPr defaultSize="0" autoFill="0" autoLine="0" autoPict="0">
                <anchor moveWithCells="1">
                  <from>
                    <xdr:col>5</xdr:col>
                    <xdr:colOff>617220</xdr:colOff>
                    <xdr:row>26</xdr:row>
                    <xdr:rowOff>175260</xdr:rowOff>
                  </from>
                  <to>
                    <xdr:col>5</xdr:col>
                    <xdr:colOff>861060</xdr:colOff>
                    <xdr:row>28</xdr:row>
                    <xdr:rowOff>22860</xdr:rowOff>
                  </to>
                </anchor>
              </controlPr>
            </control>
          </mc:Choice>
        </mc:AlternateContent>
        <mc:AlternateContent xmlns:mc="http://schemas.openxmlformats.org/markup-compatibility/2006">
          <mc:Choice Requires="x14">
            <control shapeId="1069" r:id="rId43" name="Check Box 45">
              <controlPr defaultSize="0" autoFill="0" autoLine="0" autoPict="0">
                <anchor moveWithCells="1">
                  <from>
                    <xdr:col>5</xdr:col>
                    <xdr:colOff>617220</xdr:colOff>
                    <xdr:row>27</xdr:row>
                    <xdr:rowOff>175260</xdr:rowOff>
                  </from>
                  <to>
                    <xdr:col>5</xdr:col>
                    <xdr:colOff>861060</xdr:colOff>
                    <xdr:row>29</xdr:row>
                    <xdr:rowOff>22860</xdr:rowOff>
                  </to>
                </anchor>
              </controlPr>
            </control>
          </mc:Choice>
        </mc:AlternateContent>
        <mc:AlternateContent xmlns:mc="http://schemas.openxmlformats.org/markup-compatibility/2006">
          <mc:Choice Requires="x14">
            <control shapeId="1070" r:id="rId44" name="Check Box 46">
              <controlPr defaultSize="0" autoFill="0" autoLine="0" autoPict="0">
                <anchor moveWithCells="1">
                  <from>
                    <xdr:col>5</xdr:col>
                    <xdr:colOff>617220</xdr:colOff>
                    <xdr:row>28</xdr:row>
                    <xdr:rowOff>175260</xdr:rowOff>
                  </from>
                  <to>
                    <xdr:col>5</xdr:col>
                    <xdr:colOff>861060</xdr:colOff>
                    <xdr:row>30</xdr:row>
                    <xdr:rowOff>22860</xdr:rowOff>
                  </to>
                </anchor>
              </controlPr>
            </control>
          </mc:Choice>
        </mc:AlternateContent>
        <mc:AlternateContent xmlns:mc="http://schemas.openxmlformats.org/markup-compatibility/2006">
          <mc:Choice Requires="x14">
            <control shapeId="1071" r:id="rId45" name="Check Box 47">
              <controlPr defaultSize="0" autoFill="0" autoLine="0" autoPict="0">
                <anchor moveWithCells="1">
                  <from>
                    <xdr:col>5</xdr:col>
                    <xdr:colOff>617220</xdr:colOff>
                    <xdr:row>29</xdr:row>
                    <xdr:rowOff>175260</xdr:rowOff>
                  </from>
                  <to>
                    <xdr:col>5</xdr:col>
                    <xdr:colOff>861060</xdr:colOff>
                    <xdr:row>31</xdr:row>
                    <xdr:rowOff>22860</xdr:rowOff>
                  </to>
                </anchor>
              </controlPr>
            </control>
          </mc:Choice>
        </mc:AlternateContent>
        <mc:AlternateContent xmlns:mc="http://schemas.openxmlformats.org/markup-compatibility/2006">
          <mc:Choice Requires="x14">
            <control shapeId="1072" r:id="rId46" name="Check Box 48">
              <controlPr defaultSize="0" autoFill="0" autoLine="0" autoPict="0">
                <anchor moveWithCells="1">
                  <from>
                    <xdr:col>5</xdr:col>
                    <xdr:colOff>617220</xdr:colOff>
                    <xdr:row>30</xdr:row>
                    <xdr:rowOff>175260</xdr:rowOff>
                  </from>
                  <to>
                    <xdr:col>5</xdr:col>
                    <xdr:colOff>861060</xdr:colOff>
                    <xdr:row>32</xdr:row>
                    <xdr:rowOff>22860</xdr:rowOff>
                  </to>
                </anchor>
              </controlPr>
            </control>
          </mc:Choice>
        </mc:AlternateContent>
        <mc:AlternateContent xmlns:mc="http://schemas.openxmlformats.org/markup-compatibility/2006">
          <mc:Choice Requires="x14">
            <control shapeId="1073" r:id="rId47" name="Check Box 49">
              <controlPr defaultSize="0" autoFill="0" autoLine="0" autoPict="0">
                <anchor moveWithCells="1">
                  <from>
                    <xdr:col>5</xdr:col>
                    <xdr:colOff>617220</xdr:colOff>
                    <xdr:row>31</xdr:row>
                    <xdr:rowOff>175260</xdr:rowOff>
                  </from>
                  <to>
                    <xdr:col>5</xdr:col>
                    <xdr:colOff>861060</xdr:colOff>
                    <xdr:row>33</xdr:row>
                    <xdr:rowOff>22860</xdr:rowOff>
                  </to>
                </anchor>
              </controlPr>
            </control>
          </mc:Choice>
        </mc:AlternateContent>
        <mc:AlternateContent xmlns:mc="http://schemas.openxmlformats.org/markup-compatibility/2006">
          <mc:Choice Requires="x14">
            <control shapeId="1074" r:id="rId48" name="Check Box 50">
              <controlPr defaultSize="0" autoFill="0" autoLine="0" autoPict="0">
                <anchor moveWithCells="1">
                  <from>
                    <xdr:col>5</xdr:col>
                    <xdr:colOff>617220</xdr:colOff>
                    <xdr:row>32</xdr:row>
                    <xdr:rowOff>175260</xdr:rowOff>
                  </from>
                  <to>
                    <xdr:col>5</xdr:col>
                    <xdr:colOff>861060</xdr:colOff>
                    <xdr:row>34</xdr:row>
                    <xdr:rowOff>22860</xdr:rowOff>
                  </to>
                </anchor>
              </controlPr>
            </control>
          </mc:Choice>
        </mc:AlternateContent>
        <mc:AlternateContent xmlns:mc="http://schemas.openxmlformats.org/markup-compatibility/2006">
          <mc:Choice Requires="x14">
            <control shapeId="1075" r:id="rId49" name="Check Box 51">
              <controlPr defaultSize="0" autoFill="0" autoLine="0" autoPict="0">
                <anchor moveWithCells="1">
                  <from>
                    <xdr:col>5</xdr:col>
                    <xdr:colOff>617220</xdr:colOff>
                    <xdr:row>33</xdr:row>
                    <xdr:rowOff>175260</xdr:rowOff>
                  </from>
                  <to>
                    <xdr:col>5</xdr:col>
                    <xdr:colOff>861060</xdr:colOff>
                    <xdr:row>35</xdr:row>
                    <xdr:rowOff>22860</xdr:rowOff>
                  </to>
                </anchor>
              </controlPr>
            </control>
          </mc:Choice>
        </mc:AlternateContent>
        <mc:AlternateContent xmlns:mc="http://schemas.openxmlformats.org/markup-compatibility/2006">
          <mc:Choice Requires="x14">
            <control shapeId="1076" r:id="rId50" name="Check Box 52">
              <controlPr defaultSize="0" autoFill="0" autoLine="0" autoPict="0">
                <anchor moveWithCells="1">
                  <from>
                    <xdr:col>5</xdr:col>
                    <xdr:colOff>617220</xdr:colOff>
                    <xdr:row>34</xdr:row>
                    <xdr:rowOff>175260</xdr:rowOff>
                  </from>
                  <to>
                    <xdr:col>5</xdr:col>
                    <xdr:colOff>861060</xdr:colOff>
                    <xdr:row>36</xdr:row>
                    <xdr:rowOff>22860</xdr:rowOff>
                  </to>
                </anchor>
              </controlPr>
            </control>
          </mc:Choice>
        </mc:AlternateContent>
        <mc:AlternateContent xmlns:mc="http://schemas.openxmlformats.org/markup-compatibility/2006">
          <mc:Choice Requires="x14">
            <control shapeId="1077" r:id="rId51" name="Check Box 53">
              <controlPr defaultSize="0" autoFill="0" autoLine="0" autoPict="0">
                <anchor moveWithCells="1">
                  <from>
                    <xdr:col>5</xdr:col>
                    <xdr:colOff>617220</xdr:colOff>
                    <xdr:row>35</xdr:row>
                    <xdr:rowOff>175260</xdr:rowOff>
                  </from>
                  <to>
                    <xdr:col>5</xdr:col>
                    <xdr:colOff>861060</xdr:colOff>
                    <xdr:row>37</xdr:row>
                    <xdr:rowOff>22860</xdr:rowOff>
                  </to>
                </anchor>
              </controlPr>
            </control>
          </mc:Choice>
        </mc:AlternateContent>
        <mc:AlternateContent xmlns:mc="http://schemas.openxmlformats.org/markup-compatibility/2006">
          <mc:Choice Requires="x14">
            <control shapeId="1078" r:id="rId52" name="Check Box 54">
              <controlPr defaultSize="0" autoFill="0" autoLine="0" autoPict="0">
                <anchor moveWithCells="1">
                  <from>
                    <xdr:col>5</xdr:col>
                    <xdr:colOff>617220</xdr:colOff>
                    <xdr:row>36</xdr:row>
                    <xdr:rowOff>175260</xdr:rowOff>
                  </from>
                  <to>
                    <xdr:col>5</xdr:col>
                    <xdr:colOff>861060</xdr:colOff>
                    <xdr:row>38</xdr:row>
                    <xdr:rowOff>22860</xdr:rowOff>
                  </to>
                </anchor>
              </controlPr>
            </control>
          </mc:Choice>
        </mc:AlternateContent>
        <mc:AlternateContent xmlns:mc="http://schemas.openxmlformats.org/markup-compatibility/2006">
          <mc:Choice Requires="x14">
            <control shapeId="1080" r:id="rId53" name="Check Box 56">
              <controlPr defaultSize="0" autoFill="0" autoLine="0" autoPict="0">
                <anchor moveWithCells="1">
                  <from>
                    <xdr:col>6</xdr:col>
                    <xdr:colOff>617220</xdr:colOff>
                    <xdr:row>26</xdr:row>
                    <xdr:rowOff>175260</xdr:rowOff>
                  </from>
                  <to>
                    <xdr:col>6</xdr:col>
                    <xdr:colOff>861060</xdr:colOff>
                    <xdr:row>28</xdr:row>
                    <xdr:rowOff>22860</xdr:rowOff>
                  </to>
                </anchor>
              </controlPr>
            </control>
          </mc:Choice>
        </mc:AlternateContent>
        <mc:AlternateContent xmlns:mc="http://schemas.openxmlformats.org/markup-compatibility/2006">
          <mc:Choice Requires="x14">
            <control shapeId="1081" r:id="rId54" name="Check Box 57">
              <controlPr defaultSize="0" autoFill="0" autoLine="0" autoPict="0">
                <anchor moveWithCells="1">
                  <from>
                    <xdr:col>6</xdr:col>
                    <xdr:colOff>617220</xdr:colOff>
                    <xdr:row>27</xdr:row>
                    <xdr:rowOff>175260</xdr:rowOff>
                  </from>
                  <to>
                    <xdr:col>6</xdr:col>
                    <xdr:colOff>861060</xdr:colOff>
                    <xdr:row>29</xdr:row>
                    <xdr:rowOff>22860</xdr:rowOff>
                  </to>
                </anchor>
              </controlPr>
            </control>
          </mc:Choice>
        </mc:AlternateContent>
        <mc:AlternateContent xmlns:mc="http://schemas.openxmlformats.org/markup-compatibility/2006">
          <mc:Choice Requires="x14">
            <control shapeId="1082" r:id="rId55" name="Check Box 58">
              <controlPr defaultSize="0" autoFill="0" autoLine="0" autoPict="0">
                <anchor moveWithCells="1">
                  <from>
                    <xdr:col>6</xdr:col>
                    <xdr:colOff>617220</xdr:colOff>
                    <xdr:row>28</xdr:row>
                    <xdr:rowOff>175260</xdr:rowOff>
                  </from>
                  <to>
                    <xdr:col>6</xdr:col>
                    <xdr:colOff>861060</xdr:colOff>
                    <xdr:row>30</xdr:row>
                    <xdr:rowOff>22860</xdr:rowOff>
                  </to>
                </anchor>
              </controlPr>
            </control>
          </mc:Choice>
        </mc:AlternateContent>
        <mc:AlternateContent xmlns:mc="http://schemas.openxmlformats.org/markup-compatibility/2006">
          <mc:Choice Requires="x14">
            <control shapeId="1083" r:id="rId56" name="Check Box 59">
              <controlPr defaultSize="0" autoFill="0" autoLine="0" autoPict="0">
                <anchor moveWithCells="1">
                  <from>
                    <xdr:col>6</xdr:col>
                    <xdr:colOff>617220</xdr:colOff>
                    <xdr:row>29</xdr:row>
                    <xdr:rowOff>175260</xdr:rowOff>
                  </from>
                  <to>
                    <xdr:col>6</xdr:col>
                    <xdr:colOff>861060</xdr:colOff>
                    <xdr:row>31</xdr:row>
                    <xdr:rowOff>22860</xdr:rowOff>
                  </to>
                </anchor>
              </controlPr>
            </control>
          </mc:Choice>
        </mc:AlternateContent>
        <mc:AlternateContent xmlns:mc="http://schemas.openxmlformats.org/markup-compatibility/2006">
          <mc:Choice Requires="x14">
            <control shapeId="1084" r:id="rId57" name="Check Box 60">
              <controlPr defaultSize="0" autoFill="0" autoLine="0" autoPict="0">
                <anchor moveWithCells="1">
                  <from>
                    <xdr:col>6</xdr:col>
                    <xdr:colOff>617220</xdr:colOff>
                    <xdr:row>30</xdr:row>
                    <xdr:rowOff>175260</xdr:rowOff>
                  </from>
                  <to>
                    <xdr:col>6</xdr:col>
                    <xdr:colOff>861060</xdr:colOff>
                    <xdr:row>32</xdr:row>
                    <xdr:rowOff>22860</xdr:rowOff>
                  </to>
                </anchor>
              </controlPr>
            </control>
          </mc:Choice>
        </mc:AlternateContent>
        <mc:AlternateContent xmlns:mc="http://schemas.openxmlformats.org/markup-compatibility/2006">
          <mc:Choice Requires="x14">
            <control shapeId="1085" r:id="rId58" name="Check Box 61">
              <controlPr defaultSize="0" autoFill="0" autoLine="0" autoPict="0">
                <anchor moveWithCells="1">
                  <from>
                    <xdr:col>6</xdr:col>
                    <xdr:colOff>617220</xdr:colOff>
                    <xdr:row>31</xdr:row>
                    <xdr:rowOff>175260</xdr:rowOff>
                  </from>
                  <to>
                    <xdr:col>6</xdr:col>
                    <xdr:colOff>861060</xdr:colOff>
                    <xdr:row>33</xdr:row>
                    <xdr:rowOff>22860</xdr:rowOff>
                  </to>
                </anchor>
              </controlPr>
            </control>
          </mc:Choice>
        </mc:AlternateContent>
        <mc:AlternateContent xmlns:mc="http://schemas.openxmlformats.org/markup-compatibility/2006">
          <mc:Choice Requires="x14">
            <control shapeId="1086" r:id="rId59" name="Check Box 62">
              <controlPr defaultSize="0" autoFill="0" autoLine="0" autoPict="0">
                <anchor moveWithCells="1">
                  <from>
                    <xdr:col>6</xdr:col>
                    <xdr:colOff>617220</xdr:colOff>
                    <xdr:row>32</xdr:row>
                    <xdr:rowOff>175260</xdr:rowOff>
                  </from>
                  <to>
                    <xdr:col>6</xdr:col>
                    <xdr:colOff>861060</xdr:colOff>
                    <xdr:row>34</xdr:row>
                    <xdr:rowOff>22860</xdr:rowOff>
                  </to>
                </anchor>
              </controlPr>
            </control>
          </mc:Choice>
        </mc:AlternateContent>
        <mc:AlternateContent xmlns:mc="http://schemas.openxmlformats.org/markup-compatibility/2006">
          <mc:Choice Requires="x14">
            <control shapeId="1087" r:id="rId60" name="Check Box 63">
              <controlPr defaultSize="0" autoFill="0" autoLine="0" autoPict="0">
                <anchor moveWithCells="1">
                  <from>
                    <xdr:col>6</xdr:col>
                    <xdr:colOff>617220</xdr:colOff>
                    <xdr:row>33</xdr:row>
                    <xdr:rowOff>175260</xdr:rowOff>
                  </from>
                  <to>
                    <xdr:col>6</xdr:col>
                    <xdr:colOff>861060</xdr:colOff>
                    <xdr:row>35</xdr:row>
                    <xdr:rowOff>22860</xdr:rowOff>
                  </to>
                </anchor>
              </controlPr>
            </control>
          </mc:Choice>
        </mc:AlternateContent>
        <mc:AlternateContent xmlns:mc="http://schemas.openxmlformats.org/markup-compatibility/2006">
          <mc:Choice Requires="x14">
            <control shapeId="1088" r:id="rId61" name="Check Box 64">
              <controlPr defaultSize="0" autoFill="0" autoLine="0" autoPict="0">
                <anchor moveWithCells="1">
                  <from>
                    <xdr:col>6</xdr:col>
                    <xdr:colOff>617220</xdr:colOff>
                    <xdr:row>34</xdr:row>
                    <xdr:rowOff>175260</xdr:rowOff>
                  </from>
                  <to>
                    <xdr:col>6</xdr:col>
                    <xdr:colOff>861060</xdr:colOff>
                    <xdr:row>36</xdr:row>
                    <xdr:rowOff>22860</xdr:rowOff>
                  </to>
                </anchor>
              </controlPr>
            </control>
          </mc:Choice>
        </mc:AlternateContent>
        <mc:AlternateContent xmlns:mc="http://schemas.openxmlformats.org/markup-compatibility/2006">
          <mc:Choice Requires="x14">
            <control shapeId="1089" r:id="rId62" name="Check Box 65">
              <controlPr defaultSize="0" autoFill="0" autoLine="0" autoPict="0">
                <anchor moveWithCells="1">
                  <from>
                    <xdr:col>6</xdr:col>
                    <xdr:colOff>617220</xdr:colOff>
                    <xdr:row>35</xdr:row>
                    <xdr:rowOff>175260</xdr:rowOff>
                  </from>
                  <to>
                    <xdr:col>6</xdr:col>
                    <xdr:colOff>861060</xdr:colOff>
                    <xdr:row>37</xdr:row>
                    <xdr:rowOff>22860</xdr:rowOff>
                  </to>
                </anchor>
              </controlPr>
            </control>
          </mc:Choice>
        </mc:AlternateContent>
        <mc:AlternateContent xmlns:mc="http://schemas.openxmlformats.org/markup-compatibility/2006">
          <mc:Choice Requires="x14">
            <control shapeId="1090" r:id="rId63" name="Check Box 66">
              <controlPr defaultSize="0" autoFill="0" autoLine="0" autoPict="0">
                <anchor moveWithCells="1">
                  <from>
                    <xdr:col>6</xdr:col>
                    <xdr:colOff>617220</xdr:colOff>
                    <xdr:row>36</xdr:row>
                    <xdr:rowOff>175260</xdr:rowOff>
                  </from>
                  <to>
                    <xdr:col>6</xdr:col>
                    <xdr:colOff>861060</xdr:colOff>
                    <xdr:row>38</xdr:row>
                    <xdr:rowOff>22860</xdr:rowOff>
                  </to>
                </anchor>
              </controlPr>
            </control>
          </mc:Choice>
        </mc:AlternateContent>
        <mc:AlternateContent xmlns:mc="http://schemas.openxmlformats.org/markup-compatibility/2006">
          <mc:Choice Requires="x14">
            <control shapeId="1092" r:id="rId64" name="Check Box 68">
              <controlPr defaultSize="0" autoFill="0" autoLine="0" autoPict="0">
                <anchor moveWithCells="1">
                  <from>
                    <xdr:col>7</xdr:col>
                    <xdr:colOff>617220</xdr:colOff>
                    <xdr:row>26</xdr:row>
                    <xdr:rowOff>175260</xdr:rowOff>
                  </from>
                  <to>
                    <xdr:col>7</xdr:col>
                    <xdr:colOff>861060</xdr:colOff>
                    <xdr:row>28</xdr:row>
                    <xdr:rowOff>22860</xdr:rowOff>
                  </to>
                </anchor>
              </controlPr>
            </control>
          </mc:Choice>
        </mc:AlternateContent>
        <mc:AlternateContent xmlns:mc="http://schemas.openxmlformats.org/markup-compatibility/2006">
          <mc:Choice Requires="x14">
            <control shapeId="1093" r:id="rId65" name="Check Box 69">
              <controlPr defaultSize="0" autoFill="0" autoLine="0" autoPict="0">
                <anchor moveWithCells="1">
                  <from>
                    <xdr:col>8</xdr:col>
                    <xdr:colOff>617220</xdr:colOff>
                    <xdr:row>26</xdr:row>
                    <xdr:rowOff>175260</xdr:rowOff>
                  </from>
                  <to>
                    <xdr:col>8</xdr:col>
                    <xdr:colOff>861060</xdr:colOff>
                    <xdr:row>28</xdr:row>
                    <xdr:rowOff>22860</xdr:rowOff>
                  </to>
                </anchor>
              </controlPr>
            </control>
          </mc:Choice>
        </mc:AlternateContent>
        <mc:AlternateContent xmlns:mc="http://schemas.openxmlformats.org/markup-compatibility/2006">
          <mc:Choice Requires="x14">
            <control shapeId="1094" r:id="rId66" name="Check Box 70">
              <controlPr defaultSize="0" autoFill="0" autoLine="0" autoPict="0">
                <anchor moveWithCells="1">
                  <from>
                    <xdr:col>7</xdr:col>
                    <xdr:colOff>617220</xdr:colOff>
                    <xdr:row>27</xdr:row>
                    <xdr:rowOff>175260</xdr:rowOff>
                  </from>
                  <to>
                    <xdr:col>7</xdr:col>
                    <xdr:colOff>861060</xdr:colOff>
                    <xdr:row>29</xdr:row>
                    <xdr:rowOff>22860</xdr:rowOff>
                  </to>
                </anchor>
              </controlPr>
            </control>
          </mc:Choice>
        </mc:AlternateContent>
        <mc:AlternateContent xmlns:mc="http://schemas.openxmlformats.org/markup-compatibility/2006">
          <mc:Choice Requires="x14">
            <control shapeId="1095" r:id="rId67" name="Check Box 71">
              <controlPr defaultSize="0" autoFill="0" autoLine="0" autoPict="0">
                <anchor moveWithCells="1">
                  <from>
                    <xdr:col>8</xdr:col>
                    <xdr:colOff>617220</xdr:colOff>
                    <xdr:row>27</xdr:row>
                    <xdr:rowOff>175260</xdr:rowOff>
                  </from>
                  <to>
                    <xdr:col>8</xdr:col>
                    <xdr:colOff>861060</xdr:colOff>
                    <xdr:row>29</xdr:row>
                    <xdr:rowOff>22860</xdr:rowOff>
                  </to>
                </anchor>
              </controlPr>
            </control>
          </mc:Choice>
        </mc:AlternateContent>
        <mc:AlternateContent xmlns:mc="http://schemas.openxmlformats.org/markup-compatibility/2006">
          <mc:Choice Requires="x14">
            <control shapeId="1096" r:id="rId68" name="Check Box 72">
              <controlPr defaultSize="0" autoFill="0" autoLine="0" autoPict="0">
                <anchor moveWithCells="1">
                  <from>
                    <xdr:col>7</xdr:col>
                    <xdr:colOff>617220</xdr:colOff>
                    <xdr:row>28</xdr:row>
                    <xdr:rowOff>175260</xdr:rowOff>
                  </from>
                  <to>
                    <xdr:col>7</xdr:col>
                    <xdr:colOff>861060</xdr:colOff>
                    <xdr:row>30</xdr:row>
                    <xdr:rowOff>22860</xdr:rowOff>
                  </to>
                </anchor>
              </controlPr>
            </control>
          </mc:Choice>
        </mc:AlternateContent>
        <mc:AlternateContent xmlns:mc="http://schemas.openxmlformats.org/markup-compatibility/2006">
          <mc:Choice Requires="x14">
            <control shapeId="1097" r:id="rId69" name="Check Box 73">
              <controlPr defaultSize="0" autoFill="0" autoLine="0" autoPict="0">
                <anchor moveWithCells="1">
                  <from>
                    <xdr:col>8</xdr:col>
                    <xdr:colOff>617220</xdr:colOff>
                    <xdr:row>28</xdr:row>
                    <xdr:rowOff>175260</xdr:rowOff>
                  </from>
                  <to>
                    <xdr:col>8</xdr:col>
                    <xdr:colOff>861060</xdr:colOff>
                    <xdr:row>30</xdr:row>
                    <xdr:rowOff>22860</xdr:rowOff>
                  </to>
                </anchor>
              </controlPr>
            </control>
          </mc:Choice>
        </mc:AlternateContent>
        <mc:AlternateContent xmlns:mc="http://schemas.openxmlformats.org/markup-compatibility/2006">
          <mc:Choice Requires="x14">
            <control shapeId="1098" r:id="rId70" name="Check Box 74">
              <controlPr defaultSize="0" autoFill="0" autoLine="0" autoPict="0">
                <anchor moveWithCells="1">
                  <from>
                    <xdr:col>7</xdr:col>
                    <xdr:colOff>617220</xdr:colOff>
                    <xdr:row>29</xdr:row>
                    <xdr:rowOff>175260</xdr:rowOff>
                  </from>
                  <to>
                    <xdr:col>7</xdr:col>
                    <xdr:colOff>861060</xdr:colOff>
                    <xdr:row>31</xdr:row>
                    <xdr:rowOff>22860</xdr:rowOff>
                  </to>
                </anchor>
              </controlPr>
            </control>
          </mc:Choice>
        </mc:AlternateContent>
        <mc:AlternateContent xmlns:mc="http://schemas.openxmlformats.org/markup-compatibility/2006">
          <mc:Choice Requires="x14">
            <control shapeId="1099" r:id="rId71" name="Check Box 75">
              <controlPr defaultSize="0" autoFill="0" autoLine="0" autoPict="0">
                <anchor moveWithCells="1">
                  <from>
                    <xdr:col>8</xdr:col>
                    <xdr:colOff>617220</xdr:colOff>
                    <xdr:row>29</xdr:row>
                    <xdr:rowOff>175260</xdr:rowOff>
                  </from>
                  <to>
                    <xdr:col>8</xdr:col>
                    <xdr:colOff>861060</xdr:colOff>
                    <xdr:row>31</xdr:row>
                    <xdr:rowOff>22860</xdr:rowOff>
                  </to>
                </anchor>
              </controlPr>
            </control>
          </mc:Choice>
        </mc:AlternateContent>
        <mc:AlternateContent xmlns:mc="http://schemas.openxmlformats.org/markup-compatibility/2006">
          <mc:Choice Requires="x14">
            <control shapeId="1100" r:id="rId72" name="Check Box 76">
              <controlPr defaultSize="0" autoFill="0" autoLine="0" autoPict="0">
                <anchor moveWithCells="1">
                  <from>
                    <xdr:col>7</xdr:col>
                    <xdr:colOff>617220</xdr:colOff>
                    <xdr:row>30</xdr:row>
                    <xdr:rowOff>175260</xdr:rowOff>
                  </from>
                  <to>
                    <xdr:col>7</xdr:col>
                    <xdr:colOff>861060</xdr:colOff>
                    <xdr:row>32</xdr:row>
                    <xdr:rowOff>22860</xdr:rowOff>
                  </to>
                </anchor>
              </controlPr>
            </control>
          </mc:Choice>
        </mc:AlternateContent>
        <mc:AlternateContent xmlns:mc="http://schemas.openxmlformats.org/markup-compatibility/2006">
          <mc:Choice Requires="x14">
            <control shapeId="1101" r:id="rId73" name="Check Box 77">
              <controlPr defaultSize="0" autoFill="0" autoLine="0" autoPict="0">
                <anchor moveWithCells="1">
                  <from>
                    <xdr:col>8</xdr:col>
                    <xdr:colOff>617220</xdr:colOff>
                    <xdr:row>30</xdr:row>
                    <xdr:rowOff>175260</xdr:rowOff>
                  </from>
                  <to>
                    <xdr:col>8</xdr:col>
                    <xdr:colOff>861060</xdr:colOff>
                    <xdr:row>32</xdr:row>
                    <xdr:rowOff>22860</xdr:rowOff>
                  </to>
                </anchor>
              </controlPr>
            </control>
          </mc:Choice>
        </mc:AlternateContent>
        <mc:AlternateContent xmlns:mc="http://schemas.openxmlformats.org/markup-compatibility/2006">
          <mc:Choice Requires="x14">
            <control shapeId="1102" r:id="rId74" name="Check Box 78">
              <controlPr defaultSize="0" autoFill="0" autoLine="0" autoPict="0">
                <anchor moveWithCells="1">
                  <from>
                    <xdr:col>7</xdr:col>
                    <xdr:colOff>617220</xdr:colOff>
                    <xdr:row>31</xdr:row>
                    <xdr:rowOff>175260</xdr:rowOff>
                  </from>
                  <to>
                    <xdr:col>7</xdr:col>
                    <xdr:colOff>861060</xdr:colOff>
                    <xdr:row>33</xdr:row>
                    <xdr:rowOff>22860</xdr:rowOff>
                  </to>
                </anchor>
              </controlPr>
            </control>
          </mc:Choice>
        </mc:AlternateContent>
        <mc:AlternateContent xmlns:mc="http://schemas.openxmlformats.org/markup-compatibility/2006">
          <mc:Choice Requires="x14">
            <control shapeId="1103" r:id="rId75" name="Check Box 79">
              <controlPr defaultSize="0" autoFill="0" autoLine="0" autoPict="0">
                <anchor moveWithCells="1">
                  <from>
                    <xdr:col>8</xdr:col>
                    <xdr:colOff>617220</xdr:colOff>
                    <xdr:row>31</xdr:row>
                    <xdr:rowOff>175260</xdr:rowOff>
                  </from>
                  <to>
                    <xdr:col>8</xdr:col>
                    <xdr:colOff>861060</xdr:colOff>
                    <xdr:row>33</xdr:row>
                    <xdr:rowOff>22860</xdr:rowOff>
                  </to>
                </anchor>
              </controlPr>
            </control>
          </mc:Choice>
        </mc:AlternateContent>
        <mc:AlternateContent xmlns:mc="http://schemas.openxmlformats.org/markup-compatibility/2006">
          <mc:Choice Requires="x14">
            <control shapeId="1104" r:id="rId76" name="Check Box 80">
              <controlPr defaultSize="0" autoFill="0" autoLine="0" autoPict="0">
                <anchor moveWithCells="1">
                  <from>
                    <xdr:col>7</xdr:col>
                    <xdr:colOff>617220</xdr:colOff>
                    <xdr:row>32</xdr:row>
                    <xdr:rowOff>175260</xdr:rowOff>
                  </from>
                  <to>
                    <xdr:col>7</xdr:col>
                    <xdr:colOff>861060</xdr:colOff>
                    <xdr:row>34</xdr:row>
                    <xdr:rowOff>22860</xdr:rowOff>
                  </to>
                </anchor>
              </controlPr>
            </control>
          </mc:Choice>
        </mc:AlternateContent>
        <mc:AlternateContent xmlns:mc="http://schemas.openxmlformats.org/markup-compatibility/2006">
          <mc:Choice Requires="x14">
            <control shapeId="1105" r:id="rId77" name="Check Box 81">
              <controlPr defaultSize="0" autoFill="0" autoLine="0" autoPict="0">
                <anchor moveWithCells="1">
                  <from>
                    <xdr:col>8</xdr:col>
                    <xdr:colOff>617220</xdr:colOff>
                    <xdr:row>32</xdr:row>
                    <xdr:rowOff>175260</xdr:rowOff>
                  </from>
                  <to>
                    <xdr:col>8</xdr:col>
                    <xdr:colOff>861060</xdr:colOff>
                    <xdr:row>34</xdr:row>
                    <xdr:rowOff>22860</xdr:rowOff>
                  </to>
                </anchor>
              </controlPr>
            </control>
          </mc:Choice>
        </mc:AlternateContent>
        <mc:AlternateContent xmlns:mc="http://schemas.openxmlformats.org/markup-compatibility/2006">
          <mc:Choice Requires="x14">
            <control shapeId="1106" r:id="rId78" name="Check Box 82">
              <controlPr defaultSize="0" autoFill="0" autoLine="0" autoPict="0">
                <anchor moveWithCells="1">
                  <from>
                    <xdr:col>7</xdr:col>
                    <xdr:colOff>617220</xdr:colOff>
                    <xdr:row>33</xdr:row>
                    <xdr:rowOff>175260</xdr:rowOff>
                  </from>
                  <to>
                    <xdr:col>7</xdr:col>
                    <xdr:colOff>861060</xdr:colOff>
                    <xdr:row>35</xdr:row>
                    <xdr:rowOff>22860</xdr:rowOff>
                  </to>
                </anchor>
              </controlPr>
            </control>
          </mc:Choice>
        </mc:AlternateContent>
        <mc:AlternateContent xmlns:mc="http://schemas.openxmlformats.org/markup-compatibility/2006">
          <mc:Choice Requires="x14">
            <control shapeId="1107" r:id="rId79" name="Check Box 83">
              <controlPr defaultSize="0" autoFill="0" autoLine="0" autoPict="0">
                <anchor moveWithCells="1">
                  <from>
                    <xdr:col>8</xdr:col>
                    <xdr:colOff>617220</xdr:colOff>
                    <xdr:row>33</xdr:row>
                    <xdr:rowOff>175260</xdr:rowOff>
                  </from>
                  <to>
                    <xdr:col>8</xdr:col>
                    <xdr:colOff>861060</xdr:colOff>
                    <xdr:row>35</xdr:row>
                    <xdr:rowOff>22860</xdr:rowOff>
                  </to>
                </anchor>
              </controlPr>
            </control>
          </mc:Choice>
        </mc:AlternateContent>
        <mc:AlternateContent xmlns:mc="http://schemas.openxmlformats.org/markup-compatibility/2006">
          <mc:Choice Requires="x14">
            <control shapeId="1108" r:id="rId80" name="Check Box 84">
              <controlPr defaultSize="0" autoFill="0" autoLine="0" autoPict="0">
                <anchor moveWithCells="1">
                  <from>
                    <xdr:col>7</xdr:col>
                    <xdr:colOff>617220</xdr:colOff>
                    <xdr:row>34</xdr:row>
                    <xdr:rowOff>175260</xdr:rowOff>
                  </from>
                  <to>
                    <xdr:col>7</xdr:col>
                    <xdr:colOff>861060</xdr:colOff>
                    <xdr:row>36</xdr:row>
                    <xdr:rowOff>22860</xdr:rowOff>
                  </to>
                </anchor>
              </controlPr>
            </control>
          </mc:Choice>
        </mc:AlternateContent>
        <mc:AlternateContent xmlns:mc="http://schemas.openxmlformats.org/markup-compatibility/2006">
          <mc:Choice Requires="x14">
            <control shapeId="1109" r:id="rId81" name="Check Box 85">
              <controlPr defaultSize="0" autoFill="0" autoLine="0" autoPict="0">
                <anchor moveWithCells="1">
                  <from>
                    <xdr:col>8</xdr:col>
                    <xdr:colOff>617220</xdr:colOff>
                    <xdr:row>34</xdr:row>
                    <xdr:rowOff>175260</xdr:rowOff>
                  </from>
                  <to>
                    <xdr:col>8</xdr:col>
                    <xdr:colOff>861060</xdr:colOff>
                    <xdr:row>36</xdr:row>
                    <xdr:rowOff>22860</xdr:rowOff>
                  </to>
                </anchor>
              </controlPr>
            </control>
          </mc:Choice>
        </mc:AlternateContent>
        <mc:AlternateContent xmlns:mc="http://schemas.openxmlformats.org/markup-compatibility/2006">
          <mc:Choice Requires="x14">
            <control shapeId="1110" r:id="rId82" name="Check Box 86">
              <controlPr defaultSize="0" autoFill="0" autoLine="0" autoPict="0">
                <anchor moveWithCells="1">
                  <from>
                    <xdr:col>7</xdr:col>
                    <xdr:colOff>617220</xdr:colOff>
                    <xdr:row>35</xdr:row>
                    <xdr:rowOff>175260</xdr:rowOff>
                  </from>
                  <to>
                    <xdr:col>7</xdr:col>
                    <xdr:colOff>861060</xdr:colOff>
                    <xdr:row>37</xdr:row>
                    <xdr:rowOff>22860</xdr:rowOff>
                  </to>
                </anchor>
              </controlPr>
            </control>
          </mc:Choice>
        </mc:AlternateContent>
        <mc:AlternateContent xmlns:mc="http://schemas.openxmlformats.org/markup-compatibility/2006">
          <mc:Choice Requires="x14">
            <control shapeId="1111" r:id="rId83" name="Check Box 87">
              <controlPr defaultSize="0" autoFill="0" autoLine="0" autoPict="0">
                <anchor moveWithCells="1">
                  <from>
                    <xdr:col>8</xdr:col>
                    <xdr:colOff>617220</xdr:colOff>
                    <xdr:row>35</xdr:row>
                    <xdr:rowOff>175260</xdr:rowOff>
                  </from>
                  <to>
                    <xdr:col>8</xdr:col>
                    <xdr:colOff>861060</xdr:colOff>
                    <xdr:row>37</xdr:row>
                    <xdr:rowOff>22860</xdr:rowOff>
                  </to>
                </anchor>
              </controlPr>
            </control>
          </mc:Choice>
        </mc:AlternateContent>
        <mc:AlternateContent xmlns:mc="http://schemas.openxmlformats.org/markup-compatibility/2006">
          <mc:Choice Requires="x14">
            <control shapeId="1112" r:id="rId84" name="Check Box 88">
              <controlPr defaultSize="0" autoFill="0" autoLine="0" autoPict="0">
                <anchor moveWithCells="1">
                  <from>
                    <xdr:col>7</xdr:col>
                    <xdr:colOff>617220</xdr:colOff>
                    <xdr:row>36</xdr:row>
                    <xdr:rowOff>175260</xdr:rowOff>
                  </from>
                  <to>
                    <xdr:col>7</xdr:col>
                    <xdr:colOff>861060</xdr:colOff>
                    <xdr:row>38</xdr:row>
                    <xdr:rowOff>22860</xdr:rowOff>
                  </to>
                </anchor>
              </controlPr>
            </control>
          </mc:Choice>
        </mc:AlternateContent>
        <mc:AlternateContent xmlns:mc="http://schemas.openxmlformats.org/markup-compatibility/2006">
          <mc:Choice Requires="x14">
            <control shapeId="1113" r:id="rId85" name="Check Box 89">
              <controlPr defaultSize="0" autoFill="0" autoLine="0" autoPict="0">
                <anchor moveWithCells="1">
                  <from>
                    <xdr:col>8</xdr:col>
                    <xdr:colOff>617220</xdr:colOff>
                    <xdr:row>36</xdr:row>
                    <xdr:rowOff>175260</xdr:rowOff>
                  </from>
                  <to>
                    <xdr:col>8</xdr:col>
                    <xdr:colOff>861060</xdr:colOff>
                    <xdr:row>38</xdr:row>
                    <xdr:rowOff>22860</xdr:rowOff>
                  </to>
                </anchor>
              </controlPr>
            </control>
          </mc:Choice>
        </mc:AlternateContent>
        <mc:AlternateContent xmlns:mc="http://schemas.openxmlformats.org/markup-compatibility/2006">
          <mc:Choice Requires="x14">
            <control shapeId="1116" r:id="rId86" name="Check Box 92">
              <controlPr defaultSize="0" autoFill="0" autoLine="0" autoPict="0">
                <anchor moveWithCells="1">
                  <from>
                    <xdr:col>9</xdr:col>
                    <xdr:colOff>617220</xdr:colOff>
                    <xdr:row>26</xdr:row>
                    <xdr:rowOff>175260</xdr:rowOff>
                  </from>
                  <to>
                    <xdr:col>9</xdr:col>
                    <xdr:colOff>861060</xdr:colOff>
                    <xdr:row>28</xdr:row>
                    <xdr:rowOff>22860</xdr:rowOff>
                  </to>
                </anchor>
              </controlPr>
            </control>
          </mc:Choice>
        </mc:AlternateContent>
        <mc:AlternateContent xmlns:mc="http://schemas.openxmlformats.org/markup-compatibility/2006">
          <mc:Choice Requires="x14">
            <control shapeId="1117" r:id="rId87" name="Check Box 93">
              <controlPr defaultSize="0" autoFill="0" autoLine="0" autoPict="0">
                <anchor moveWithCells="1">
                  <from>
                    <xdr:col>9</xdr:col>
                    <xdr:colOff>617220</xdr:colOff>
                    <xdr:row>27</xdr:row>
                    <xdr:rowOff>175260</xdr:rowOff>
                  </from>
                  <to>
                    <xdr:col>9</xdr:col>
                    <xdr:colOff>861060</xdr:colOff>
                    <xdr:row>29</xdr:row>
                    <xdr:rowOff>22860</xdr:rowOff>
                  </to>
                </anchor>
              </controlPr>
            </control>
          </mc:Choice>
        </mc:AlternateContent>
        <mc:AlternateContent xmlns:mc="http://schemas.openxmlformats.org/markup-compatibility/2006">
          <mc:Choice Requires="x14">
            <control shapeId="1118" r:id="rId88" name="Check Box 94">
              <controlPr defaultSize="0" autoFill="0" autoLine="0" autoPict="0">
                <anchor moveWithCells="1">
                  <from>
                    <xdr:col>9</xdr:col>
                    <xdr:colOff>617220</xdr:colOff>
                    <xdr:row>28</xdr:row>
                    <xdr:rowOff>175260</xdr:rowOff>
                  </from>
                  <to>
                    <xdr:col>9</xdr:col>
                    <xdr:colOff>861060</xdr:colOff>
                    <xdr:row>30</xdr:row>
                    <xdr:rowOff>22860</xdr:rowOff>
                  </to>
                </anchor>
              </controlPr>
            </control>
          </mc:Choice>
        </mc:AlternateContent>
        <mc:AlternateContent xmlns:mc="http://schemas.openxmlformats.org/markup-compatibility/2006">
          <mc:Choice Requires="x14">
            <control shapeId="1119" r:id="rId89" name="Check Box 95">
              <controlPr defaultSize="0" autoFill="0" autoLine="0" autoPict="0">
                <anchor moveWithCells="1">
                  <from>
                    <xdr:col>9</xdr:col>
                    <xdr:colOff>617220</xdr:colOff>
                    <xdr:row>29</xdr:row>
                    <xdr:rowOff>175260</xdr:rowOff>
                  </from>
                  <to>
                    <xdr:col>9</xdr:col>
                    <xdr:colOff>861060</xdr:colOff>
                    <xdr:row>31</xdr:row>
                    <xdr:rowOff>22860</xdr:rowOff>
                  </to>
                </anchor>
              </controlPr>
            </control>
          </mc:Choice>
        </mc:AlternateContent>
        <mc:AlternateContent xmlns:mc="http://schemas.openxmlformats.org/markup-compatibility/2006">
          <mc:Choice Requires="x14">
            <control shapeId="1120" r:id="rId90" name="Check Box 96">
              <controlPr defaultSize="0" autoFill="0" autoLine="0" autoPict="0">
                <anchor moveWithCells="1">
                  <from>
                    <xdr:col>9</xdr:col>
                    <xdr:colOff>617220</xdr:colOff>
                    <xdr:row>30</xdr:row>
                    <xdr:rowOff>175260</xdr:rowOff>
                  </from>
                  <to>
                    <xdr:col>9</xdr:col>
                    <xdr:colOff>861060</xdr:colOff>
                    <xdr:row>32</xdr:row>
                    <xdr:rowOff>22860</xdr:rowOff>
                  </to>
                </anchor>
              </controlPr>
            </control>
          </mc:Choice>
        </mc:AlternateContent>
        <mc:AlternateContent xmlns:mc="http://schemas.openxmlformats.org/markup-compatibility/2006">
          <mc:Choice Requires="x14">
            <control shapeId="1121" r:id="rId91" name="Check Box 97">
              <controlPr defaultSize="0" autoFill="0" autoLine="0" autoPict="0">
                <anchor moveWithCells="1">
                  <from>
                    <xdr:col>9</xdr:col>
                    <xdr:colOff>617220</xdr:colOff>
                    <xdr:row>31</xdr:row>
                    <xdr:rowOff>175260</xdr:rowOff>
                  </from>
                  <to>
                    <xdr:col>9</xdr:col>
                    <xdr:colOff>861060</xdr:colOff>
                    <xdr:row>33</xdr:row>
                    <xdr:rowOff>22860</xdr:rowOff>
                  </to>
                </anchor>
              </controlPr>
            </control>
          </mc:Choice>
        </mc:AlternateContent>
        <mc:AlternateContent xmlns:mc="http://schemas.openxmlformats.org/markup-compatibility/2006">
          <mc:Choice Requires="x14">
            <control shapeId="1122" r:id="rId92" name="Check Box 98">
              <controlPr defaultSize="0" autoFill="0" autoLine="0" autoPict="0">
                <anchor moveWithCells="1">
                  <from>
                    <xdr:col>9</xdr:col>
                    <xdr:colOff>617220</xdr:colOff>
                    <xdr:row>32</xdr:row>
                    <xdr:rowOff>175260</xdr:rowOff>
                  </from>
                  <to>
                    <xdr:col>9</xdr:col>
                    <xdr:colOff>861060</xdr:colOff>
                    <xdr:row>34</xdr:row>
                    <xdr:rowOff>22860</xdr:rowOff>
                  </to>
                </anchor>
              </controlPr>
            </control>
          </mc:Choice>
        </mc:AlternateContent>
        <mc:AlternateContent xmlns:mc="http://schemas.openxmlformats.org/markup-compatibility/2006">
          <mc:Choice Requires="x14">
            <control shapeId="1123" r:id="rId93" name="Check Box 99">
              <controlPr defaultSize="0" autoFill="0" autoLine="0" autoPict="0">
                <anchor moveWithCells="1">
                  <from>
                    <xdr:col>9</xdr:col>
                    <xdr:colOff>617220</xdr:colOff>
                    <xdr:row>33</xdr:row>
                    <xdr:rowOff>175260</xdr:rowOff>
                  </from>
                  <to>
                    <xdr:col>9</xdr:col>
                    <xdr:colOff>861060</xdr:colOff>
                    <xdr:row>35</xdr:row>
                    <xdr:rowOff>22860</xdr:rowOff>
                  </to>
                </anchor>
              </controlPr>
            </control>
          </mc:Choice>
        </mc:AlternateContent>
        <mc:AlternateContent xmlns:mc="http://schemas.openxmlformats.org/markup-compatibility/2006">
          <mc:Choice Requires="x14">
            <control shapeId="1124" r:id="rId94" name="Check Box 100">
              <controlPr defaultSize="0" autoFill="0" autoLine="0" autoPict="0">
                <anchor moveWithCells="1">
                  <from>
                    <xdr:col>9</xdr:col>
                    <xdr:colOff>617220</xdr:colOff>
                    <xdr:row>34</xdr:row>
                    <xdr:rowOff>175260</xdr:rowOff>
                  </from>
                  <to>
                    <xdr:col>9</xdr:col>
                    <xdr:colOff>861060</xdr:colOff>
                    <xdr:row>36</xdr:row>
                    <xdr:rowOff>22860</xdr:rowOff>
                  </to>
                </anchor>
              </controlPr>
            </control>
          </mc:Choice>
        </mc:AlternateContent>
        <mc:AlternateContent xmlns:mc="http://schemas.openxmlformats.org/markup-compatibility/2006">
          <mc:Choice Requires="x14">
            <control shapeId="1125" r:id="rId95" name="Check Box 101">
              <controlPr defaultSize="0" autoFill="0" autoLine="0" autoPict="0">
                <anchor moveWithCells="1">
                  <from>
                    <xdr:col>9</xdr:col>
                    <xdr:colOff>617220</xdr:colOff>
                    <xdr:row>35</xdr:row>
                    <xdr:rowOff>175260</xdr:rowOff>
                  </from>
                  <to>
                    <xdr:col>9</xdr:col>
                    <xdr:colOff>861060</xdr:colOff>
                    <xdr:row>37</xdr:row>
                    <xdr:rowOff>22860</xdr:rowOff>
                  </to>
                </anchor>
              </controlPr>
            </control>
          </mc:Choice>
        </mc:AlternateContent>
        <mc:AlternateContent xmlns:mc="http://schemas.openxmlformats.org/markup-compatibility/2006">
          <mc:Choice Requires="x14">
            <control shapeId="1126" r:id="rId96" name="Check Box 102">
              <controlPr defaultSize="0" autoFill="0" autoLine="0" autoPict="0">
                <anchor moveWithCells="1">
                  <from>
                    <xdr:col>9</xdr:col>
                    <xdr:colOff>617220</xdr:colOff>
                    <xdr:row>36</xdr:row>
                    <xdr:rowOff>175260</xdr:rowOff>
                  </from>
                  <to>
                    <xdr:col>9</xdr:col>
                    <xdr:colOff>861060</xdr:colOff>
                    <xdr:row>38</xdr:row>
                    <xdr:rowOff>22860</xdr:rowOff>
                  </to>
                </anchor>
              </controlPr>
            </control>
          </mc:Choice>
        </mc:AlternateContent>
        <mc:AlternateContent xmlns:mc="http://schemas.openxmlformats.org/markup-compatibility/2006">
          <mc:Choice Requires="x14">
            <control shapeId="1128" r:id="rId97" name="Check Box 104">
              <controlPr defaultSize="0" autoFill="0" autoLine="0" autoPict="0">
                <anchor moveWithCells="1">
                  <from>
                    <xdr:col>10</xdr:col>
                    <xdr:colOff>617220</xdr:colOff>
                    <xdr:row>26</xdr:row>
                    <xdr:rowOff>175260</xdr:rowOff>
                  </from>
                  <to>
                    <xdr:col>10</xdr:col>
                    <xdr:colOff>861060</xdr:colOff>
                    <xdr:row>28</xdr:row>
                    <xdr:rowOff>22860</xdr:rowOff>
                  </to>
                </anchor>
              </controlPr>
            </control>
          </mc:Choice>
        </mc:AlternateContent>
        <mc:AlternateContent xmlns:mc="http://schemas.openxmlformats.org/markup-compatibility/2006">
          <mc:Choice Requires="x14">
            <control shapeId="1129" r:id="rId98" name="Check Box 105">
              <controlPr defaultSize="0" autoFill="0" autoLine="0" autoPict="0">
                <anchor moveWithCells="1">
                  <from>
                    <xdr:col>10</xdr:col>
                    <xdr:colOff>617220</xdr:colOff>
                    <xdr:row>27</xdr:row>
                    <xdr:rowOff>175260</xdr:rowOff>
                  </from>
                  <to>
                    <xdr:col>10</xdr:col>
                    <xdr:colOff>861060</xdr:colOff>
                    <xdr:row>29</xdr:row>
                    <xdr:rowOff>22860</xdr:rowOff>
                  </to>
                </anchor>
              </controlPr>
            </control>
          </mc:Choice>
        </mc:AlternateContent>
        <mc:AlternateContent xmlns:mc="http://schemas.openxmlformats.org/markup-compatibility/2006">
          <mc:Choice Requires="x14">
            <control shapeId="1130" r:id="rId99" name="Check Box 106">
              <controlPr defaultSize="0" autoFill="0" autoLine="0" autoPict="0">
                <anchor moveWithCells="1">
                  <from>
                    <xdr:col>10</xdr:col>
                    <xdr:colOff>617220</xdr:colOff>
                    <xdr:row>28</xdr:row>
                    <xdr:rowOff>175260</xdr:rowOff>
                  </from>
                  <to>
                    <xdr:col>10</xdr:col>
                    <xdr:colOff>861060</xdr:colOff>
                    <xdr:row>30</xdr:row>
                    <xdr:rowOff>22860</xdr:rowOff>
                  </to>
                </anchor>
              </controlPr>
            </control>
          </mc:Choice>
        </mc:AlternateContent>
        <mc:AlternateContent xmlns:mc="http://schemas.openxmlformats.org/markup-compatibility/2006">
          <mc:Choice Requires="x14">
            <control shapeId="1131" r:id="rId100" name="Check Box 107">
              <controlPr defaultSize="0" autoFill="0" autoLine="0" autoPict="0">
                <anchor moveWithCells="1">
                  <from>
                    <xdr:col>10</xdr:col>
                    <xdr:colOff>617220</xdr:colOff>
                    <xdr:row>29</xdr:row>
                    <xdr:rowOff>175260</xdr:rowOff>
                  </from>
                  <to>
                    <xdr:col>10</xdr:col>
                    <xdr:colOff>861060</xdr:colOff>
                    <xdr:row>31</xdr:row>
                    <xdr:rowOff>22860</xdr:rowOff>
                  </to>
                </anchor>
              </controlPr>
            </control>
          </mc:Choice>
        </mc:AlternateContent>
        <mc:AlternateContent xmlns:mc="http://schemas.openxmlformats.org/markup-compatibility/2006">
          <mc:Choice Requires="x14">
            <control shapeId="1132" r:id="rId101" name="Check Box 108">
              <controlPr defaultSize="0" autoFill="0" autoLine="0" autoPict="0">
                <anchor moveWithCells="1">
                  <from>
                    <xdr:col>10</xdr:col>
                    <xdr:colOff>617220</xdr:colOff>
                    <xdr:row>30</xdr:row>
                    <xdr:rowOff>175260</xdr:rowOff>
                  </from>
                  <to>
                    <xdr:col>10</xdr:col>
                    <xdr:colOff>861060</xdr:colOff>
                    <xdr:row>32</xdr:row>
                    <xdr:rowOff>22860</xdr:rowOff>
                  </to>
                </anchor>
              </controlPr>
            </control>
          </mc:Choice>
        </mc:AlternateContent>
        <mc:AlternateContent xmlns:mc="http://schemas.openxmlformats.org/markup-compatibility/2006">
          <mc:Choice Requires="x14">
            <control shapeId="1133" r:id="rId102" name="Check Box 109">
              <controlPr defaultSize="0" autoFill="0" autoLine="0" autoPict="0">
                <anchor moveWithCells="1">
                  <from>
                    <xdr:col>10</xdr:col>
                    <xdr:colOff>617220</xdr:colOff>
                    <xdr:row>31</xdr:row>
                    <xdr:rowOff>175260</xdr:rowOff>
                  </from>
                  <to>
                    <xdr:col>10</xdr:col>
                    <xdr:colOff>861060</xdr:colOff>
                    <xdr:row>33</xdr:row>
                    <xdr:rowOff>22860</xdr:rowOff>
                  </to>
                </anchor>
              </controlPr>
            </control>
          </mc:Choice>
        </mc:AlternateContent>
        <mc:AlternateContent xmlns:mc="http://schemas.openxmlformats.org/markup-compatibility/2006">
          <mc:Choice Requires="x14">
            <control shapeId="1134" r:id="rId103" name="Check Box 110">
              <controlPr defaultSize="0" autoFill="0" autoLine="0" autoPict="0">
                <anchor moveWithCells="1">
                  <from>
                    <xdr:col>10</xdr:col>
                    <xdr:colOff>617220</xdr:colOff>
                    <xdr:row>32</xdr:row>
                    <xdr:rowOff>175260</xdr:rowOff>
                  </from>
                  <to>
                    <xdr:col>10</xdr:col>
                    <xdr:colOff>861060</xdr:colOff>
                    <xdr:row>34</xdr:row>
                    <xdr:rowOff>22860</xdr:rowOff>
                  </to>
                </anchor>
              </controlPr>
            </control>
          </mc:Choice>
        </mc:AlternateContent>
        <mc:AlternateContent xmlns:mc="http://schemas.openxmlformats.org/markup-compatibility/2006">
          <mc:Choice Requires="x14">
            <control shapeId="1135" r:id="rId104" name="Check Box 111">
              <controlPr defaultSize="0" autoFill="0" autoLine="0" autoPict="0">
                <anchor moveWithCells="1">
                  <from>
                    <xdr:col>10</xdr:col>
                    <xdr:colOff>617220</xdr:colOff>
                    <xdr:row>33</xdr:row>
                    <xdr:rowOff>175260</xdr:rowOff>
                  </from>
                  <to>
                    <xdr:col>10</xdr:col>
                    <xdr:colOff>861060</xdr:colOff>
                    <xdr:row>35</xdr:row>
                    <xdr:rowOff>22860</xdr:rowOff>
                  </to>
                </anchor>
              </controlPr>
            </control>
          </mc:Choice>
        </mc:AlternateContent>
        <mc:AlternateContent xmlns:mc="http://schemas.openxmlformats.org/markup-compatibility/2006">
          <mc:Choice Requires="x14">
            <control shapeId="1136" r:id="rId105" name="Check Box 112">
              <controlPr defaultSize="0" autoFill="0" autoLine="0" autoPict="0">
                <anchor moveWithCells="1">
                  <from>
                    <xdr:col>10</xdr:col>
                    <xdr:colOff>617220</xdr:colOff>
                    <xdr:row>34</xdr:row>
                    <xdr:rowOff>175260</xdr:rowOff>
                  </from>
                  <to>
                    <xdr:col>10</xdr:col>
                    <xdr:colOff>861060</xdr:colOff>
                    <xdr:row>36</xdr:row>
                    <xdr:rowOff>22860</xdr:rowOff>
                  </to>
                </anchor>
              </controlPr>
            </control>
          </mc:Choice>
        </mc:AlternateContent>
        <mc:AlternateContent xmlns:mc="http://schemas.openxmlformats.org/markup-compatibility/2006">
          <mc:Choice Requires="x14">
            <control shapeId="1137" r:id="rId106" name="Check Box 113">
              <controlPr defaultSize="0" autoFill="0" autoLine="0" autoPict="0">
                <anchor moveWithCells="1">
                  <from>
                    <xdr:col>10</xdr:col>
                    <xdr:colOff>617220</xdr:colOff>
                    <xdr:row>35</xdr:row>
                    <xdr:rowOff>175260</xdr:rowOff>
                  </from>
                  <to>
                    <xdr:col>10</xdr:col>
                    <xdr:colOff>861060</xdr:colOff>
                    <xdr:row>37</xdr:row>
                    <xdr:rowOff>22860</xdr:rowOff>
                  </to>
                </anchor>
              </controlPr>
            </control>
          </mc:Choice>
        </mc:AlternateContent>
        <mc:AlternateContent xmlns:mc="http://schemas.openxmlformats.org/markup-compatibility/2006">
          <mc:Choice Requires="x14">
            <control shapeId="1138" r:id="rId107" name="Check Box 114">
              <controlPr defaultSize="0" autoFill="0" autoLine="0" autoPict="0">
                <anchor moveWithCells="1">
                  <from>
                    <xdr:col>10</xdr:col>
                    <xdr:colOff>617220</xdr:colOff>
                    <xdr:row>36</xdr:row>
                    <xdr:rowOff>175260</xdr:rowOff>
                  </from>
                  <to>
                    <xdr:col>10</xdr:col>
                    <xdr:colOff>861060</xdr:colOff>
                    <xdr:row>38</xdr:row>
                    <xdr:rowOff>22860</xdr:rowOff>
                  </to>
                </anchor>
              </controlPr>
            </control>
          </mc:Choice>
        </mc:AlternateContent>
        <mc:AlternateContent xmlns:mc="http://schemas.openxmlformats.org/markup-compatibility/2006">
          <mc:Choice Requires="x14">
            <control shapeId="1140" r:id="rId108" name="Check Box 116">
              <controlPr defaultSize="0" autoFill="0" autoLine="0" autoPict="0">
                <anchor moveWithCells="1">
                  <from>
                    <xdr:col>11</xdr:col>
                    <xdr:colOff>617220</xdr:colOff>
                    <xdr:row>24</xdr:row>
                    <xdr:rowOff>175260</xdr:rowOff>
                  </from>
                  <to>
                    <xdr:col>11</xdr:col>
                    <xdr:colOff>861060</xdr:colOff>
                    <xdr:row>26</xdr:row>
                    <xdr:rowOff>22860</xdr:rowOff>
                  </to>
                </anchor>
              </controlPr>
            </control>
          </mc:Choice>
        </mc:AlternateContent>
        <mc:AlternateContent xmlns:mc="http://schemas.openxmlformats.org/markup-compatibility/2006">
          <mc:Choice Requires="x14">
            <control shapeId="1141" r:id="rId109" name="Check Box 117">
              <controlPr defaultSize="0" autoFill="0" autoLine="0" autoPict="0">
                <anchor moveWithCells="1">
                  <from>
                    <xdr:col>11</xdr:col>
                    <xdr:colOff>617220</xdr:colOff>
                    <xdr:row>25</xdr:row>
                    <xdr:rowOff>175260</xdr:rowOff>
                  </from>
                  <to>
                    <xdr:col>11</xdr:col>
                    <xdr:colOff>861060</xdr:colOff>
                    <xdr:row>27</xdr:row>
                    <xdr:rowOff>22860</xdr:rowOff>
                  </to>
                </anchor>
              </controlPr>
            </control>
          </mc:Choice>
        </mc:AlternateContent>
        <mc:AlternateContent xmlns:mc="http://schemas.openxmlformats.org/markup-compatibility/2006">
          <mc:Choice Requires="x14">
            <control shapeId="1142" r:id="rId110" name="Check Box 118">
              <controlPr defaultSize="0" autoFill="0" autoLine="0" autoPict="0">
                <anchor moveWithCells="1">
                  <from>
                    <xdr:col>11</xdr:col>
                    <xdr:colOff>617220</xdr:colOff>
                    <xdr:row>26</xdr:row>
                    <xdr:rowOff>175260</xdr:rowOff>
                  </from>
                  <to>
                    <xdr:col>11</xdr:col>
                    <xdr:colOff>861060</xdr:colOff>
                    <xdr:row>28</xdr:row>
                    <xdr:rowOff>22860</xdr:rowOff>
                  </to>
                </anchor>
              </controlPr>
            </control>
          </mc:Choice>
        </mc:AlternateContent>
        <mc:AlternateContent xmlns:mc="http://schemas.openxmlformats.org/markup-compatibility/2006">
          <mc:Choice Requires="x14">
            <control shapeId="1143" r:id="rId111" name="Check Box 119">
              <controlPr defaultSize="0" autoFill="0" autoLine="0" autoPict="0">
                <anchor moveWithCells="1">
                  <from>
                    <xdr:col>11</xdr:col>
                    <xdr:colOff>617220</xdr:colOff>
                    <xdr:row>27</xdr:row>
                    <xdr:rowOff>175260</xdr:rowOff>
                  </from>
                  <to>
                    <xdr:col>11</xdr:col>
                    <xdr:colOff>861060</xdr:colOff>
                    <xdr:row>29</xdr:row>
                    <xdr:rowOff>22860</xdr:rowOff>
                  </to>
                </anchor>
              </controlPr>
            </control>
          </mc:Choice>
        </mc:AlternateContent>
        <mc:AlternateContent xmlns:mc="http://schemas.openxmlformats.org/markup-compatibility/2006">
          <mc:Choice Requires="x14">
            <control shapeId="1144" r:id="rId112" name="Check Box 120">
              <controlPr defaultSize="0" autoFill="0" autoLine="0" autoPict="0">
                <anchor moveWithCells="1">
                  <from>
                    <xdr:col>11</xdr:col>
                    <xdr:colOff>617220</xdr:colOff>
                    <xdr:row>28</xdr:row>
                    <xdr:rowOff>175260</xdr:rowOff>
                  </from>
                  <to>
                    <xdr:col>11</xdr:col>
                    <xdr:colOff>861060</xdr:colOff>
                    <xdr:row>30</xdr:row>
                    <xdr:rowOff>22860</xdr:rowOff>
                  </to>
                </anchor>
              </controlPr>
            </control>
          </mc:Choice>
        </mc:AlternateContent>
        <mc:AlternateContent xmlns:mc="http://schemas.openxmlformats.org/markup-compatibility/2006">
          <mc:Choice Requires="x14">
            <control shapeId="1145" r:id="rId113" name="Check Box 121">
              <controlPr defaultSize="0" autoFill="0" autoLine="0" autoPict="0">
                <anchor moveWithCells="1">
                  <from>
                    <xdr:col>11</xdr:col>
                    <xdr:colOff>617220</xdr:colOff>
                    <xdr:row>29</xdr:row>
                    <xdr:rowOff>175260</xdr:rowOff>
                  </from>
                  <to>
                    <xdr:col>11</xdr:col>
                    <xdr:colOff>861060</xdr:colOff>
                    <xdr:row>31</xdr:row>
                    <xdr:rowOff>22860</xdr:rowOff>
                  </to>
                </anchor>
              </controlPr>
            </control>
          </mc:Choice>
        </mc:AlternateContent>
        <mc:AlternateContent xmlns:mc="http://schemas.openxmlformats.org/markup-compatibility/2006">
          <mc:Choice Requires="x14">
            <control shapeId="1146" r:id="rId114" name="Check Box 122">
              <controlPr defaultSize="0" autoFill="0" autoLine="0" autoPict="0">
                <anchor moveWithCells="1">
                  <from>
                    <xdr:col>11</xdr:col>
                    <xdr:colOff>617220</xdr:colOff>
                    <xdr:row>30</xdr:row>
                    <xdr:rowOff>175260</xdr:rowOff>
                  </from>
                  <to>
                    <xdr:col>11</xdr:col>
                    <xdr:colOff>861060</xdr:colOff>
                    <xdr:row>32</xdr:row>
                    <xdr:rowOff>22860</xdr:rowOff>
                  </to>
                </anchor>
              </controlPr>
            </control>
          </mc:Choice>
        </mc:AlternateContent>
        <mc:AlternateContent xmlns:mc="http://schemas.openxmlformats.org/markup-compatibility/2006">
          <mc:Choice Requires="x14">
            <control shapeId="1147" r:id="rId115" name="Check Box 123">
              <controlPr defaultSize="0" autoFill="0" autoLine="0" autoPict="0">
                <anchor moveWithCells="1">
                  <from>
                    <xdr:col>11</xdr:col>
                    <xdr:colOff>617220</xdr:colOff>
                    <xdr:row>31</xdr:row>
                    <xdr:rowOff>175260</xdr:rowOff>
                  </from>
                  <to>
                    <xdr:col>11</xdr:col>
                    <xdr:colOff>861060</xdr:colOff>
                    <xdr:row>33</xdr:row>
                    <xdr:rowOff>22860</xdr:rowOff>
                  </to>
                </anchor>
              </controlPr>
            </control>
          </mc:Choice>
        </mc:AlternateContent>
        <mc:AlternateContent xmlns:mc="http://schemas.openxmlformats.org/markup-compatibility/2006">
          <mc:Choice Requires="x14">
            <control shapeId="1148" r:id="rId116" name="Check Box 124">
              <controlPr defaultSize="0" autoFill="0" autoLine="0" autoPict="0">
                <anchor moveWithCells="1">
                  <from>
                    <xdr:col>11</xdr:col>
                    <xdr:colOff>617220</xdr:colOff>
                    <xdr:row>32</xdr:row>
                    <xdr:rowOff>175260</xdr:rowOff>
                  </from>
                  <to>
                    <xdr:col>11</xdr:col>
                    <xdr:colOff>861060</xdr:colOff>
                    <xdr:row>34</xdr:row>
                    <xdr:rowOff>22860</xdr:rowOff>
                  </to>
                </anchor>
              </controlPr>
            </control>
          </mc:Choice>
        </mc:AlternateContent>
        <mc:AlternateContent xmlns:mc="http://schemas.openxmlformats.org/markup-compatibility/2006">
          <mc:Choice Requires="x14">
            <control shapeId="1149" r:id="rId117" name="Check Box 125">
              <controlPr defaultSize="0" autoFill="0" autoLine="0" autoPict="0">
                <anchor moveWithCells="1">
                  <from>
                    <xdr:col>11</xdr:col>
                    <xdr:colOff>617220</xdr:colOff>
                    <xdr:row>33</xdr:row>
                    <xdr:rowOff>175260</xdr:rowOff>
                  </from>
                  <to>
                    <xdr:col>11</xdr:col>
                    <xdr:colOff>861060</xdr:colOff>
                    <xdr:row>35</xdr:row>
                    <xdr:rowOff>22860</xdr:rowOff>
                  </to>
                </anchor>
              </controlPr>
            </control>
          </mc:Choice>
        </mc:AlternateContent>
        <mc:AlternateContent xmlns:mc="http://schemas.openxmlformats.org/markup-compatibility/2006">
          <mc:Choice Requires="x14">
            <control shapeId="1150" r:id="rId118" name="Check Box 126">
              <controlPr defaultSize="0" autoFill="0" autoLine="0" autoPict="0">
                <anchor moveWithCells="1">
                  <from>
                    <xdr:col>11</xdr:col>
                    <xdr:colOff>617220</xdr:colOff>
                    <xdr:row>34</xdr:row>
                    <xdr:rowOff>175260</xdr:rowOff>
                  </from>
                  <to>
                    <xdr:col>11</xdr:col>
                    <xdr:colOff>861060</xdr:colOff>
                    <xdr:row>36</xdr:row>
                    <xdr:rowOff>22860</xdr:rowOff>
                  </to>
                </anchor>
              </controlPr>
            </control>
          </mc:Choice>
        </mc:AlternateContent>
        <mc:AlternateContent xmlns:mc="http://schemas.openxmlformats.org/markup-compatibility/2006">
          <mc:Choice Requires="x14">
            <control shapeId="1151" r:id="rId119" name="Check Box 127">
              <controlPr defaultSize="0" autoFill="0" autoLine="0" autoPict="0">
                <anchor moveWithCells="1">
                  <from>
                    <xdr:col>11</xdr:col>
                    <xdr:colOff>617220</xdr:colOff>
                    <xdr:row>35</xdr:row>
                    <xdr:rowOff>175260</xdr:rowOff>
                  </from>
                  <to>
                    <xdr:col>11</xdr:col>
                    <xdr:colOff>861060</xdr:colOff>
                    <xdr:row>37</xdr:row>
                    <xdr:rowOff>22860</xdr:rowOff>
                  </to>
                </anchor>
              </controlPr>
            </control>
          </mc:Choice>
        </mc:AlternateContent>
        <mc:AlternateContent xmlns:mc="http://schemas.openxmlformats.org/markup-compatibility/2006">
          <mc:Choice Requires="x14">
            <control shapeId="1152" r:id="rId120" name="Check Box 128">
              <controlPr defaultSize="0" autoFill="0" autoLine="0" autoPict="0">
                <anchor moveWithCells="1">
                  <from>
                    <xdr:col>11</xdr:col>
                    <xdr:colOff>617220</xdr:colOff>
                    <xdr:row>36</xdr:row>
                    <xdr:rowOff>175260</xdr:rowOff>
                  </from>
                  <to>
                    <xdr:col>11</xdr:col>
                    <xdr:colOff>861060</xdr:colOff>
                    <xdr:row>38</xdr:row>
                    <xdr:rowOff>22860</xdr:rowOff>
                  </to>
                </anchor>
              </controlPr>
            </control>
          </mc:Choice>
        </mc:AlternateContent>
        <mc:AlternateContent xmlns:mc="http://schemas.openxmlformats.org/markup-compatibility/2006">
          <mc:Choice Requires="x14">
            <control shapeId="1154" r:id="rId121" name="Check Box 130">
              <controlPr defaultSize="0" autoFill="0" autoLine="0" autoPict="0">
                <anchor moveWithCells="1">
                  <from>
                    <xdr:col>11</xdr:col>
                    <xdr:colOff>617220</xdr:colOff>
                    <xdr:row>25</xdr:row>
                    <xdr:rowOff>175260</xdr:rowOff>
                  </from>
                  <to>
                    <xdr:col>11</xdr:col>
                    <xdr:colOff>861060</xdr:colOff>
                    <xdr:row>27</xdr:row>
                    <xdr:rowOff>22860</xdr:rowOff>
                  </to>
                </anchor>
              </controlPr>
            </control>
          </mc:Choice>
        </mc:AlternateContent>
        <mc:AlternateContent xmlns:mc="http://schemas.openxmlformats.org/markup-compatibility/2006">
          <mc:Choice Requires="x14">
            <control shapeId="1155" r:id="rId122" name="Check Box 131">
              <controlPr defaultSize="0" autoFill="0" autoLine="0" autoPict="0">
                <anchor moveWithCells="1">
                  <from>
                    <xdr:col>11</xdr:col>
                    <xdr:colOff>617220</xdr:colOff>
                    <xdr:row>26</xdr:row>
                    <xdr:rowOff>175260</xdr:rowOff>
                  </from>
                  <to>
                    <xdr:col>11</xdr:col>
                    <xdr:colOff>861060</xdr:colOff>
                    <xdr:row>28</xdr:row>
                    <xdr:rowOff>22860</xdr:rowOff>
                  </to>
                </anchor>
              </controlPr>
            </control>
          </mc:Choice>
        </mc:AlternateContent>
        <mc:AlternateContent xmlns:mc="http://schemas.openxmlformats.org/markup-compatibility/2006">
          <mc:Choice Requires="x14">
            <control shapeId="1156" r:id="rId123" name="Check Box 132">
              <controlPr defaultSize="0" autoFill="0" autoLine="0" autoPict="0">
                <anchor moveWithCells="1">
                  <from>
                    <xdr:col>11</xdr:col>
                    <xdr:colOff>617220</xdr:colOff>
                    <xdr:row>27</xdr:row>
                    <xdr:rowOff>175260</xdr:rowOff>
                  </from>
                  <to>
                    <xdr:col>11</xdr:col>
                    <xdr:colOff>861060</xdr:colOff>
                    <xdr:row>29</xdr:row>
                    <xdr:rowOff>22860</xdr:rowOff>
                  </to>
                </anchor>
              </controlPr>
            </control>
          </mc:Choice>
        </mc:AlternateContent>
        <mc:AlternateContent xmlns:mc="http://schemas.openxmlformats.org/markup-compatibility/2006">
          <mc:Choice Requires="x14">
            <control shapeId="1157" r:id="rId124" name="Check Box 133">
              <controlPr defaultSize="0" autoFill="0" autoLine="0" autoPict="0">
                <anchor moveWithCells="1">
                  <from>
                    <xdr:col>11</xdr:col>
                    <xdr:colOff>617220</xdr:colOff>
                    <xdr:row>28</xdr:row>
                    <xdr:rowOff>175260</xdr:rowOff>
                  </from>
                  <to>
                    <xdr:col>11</xdr:col>
                    <xdr:colOff>861060</xdr:colOff>
                    <xdr:row>30</xdr:row>
                    <xdr:rowOff>22860</xdr:rowOff>
                  </to>
                </anchor>
              </controlPr>
            </control>
          </mc:Choice>
        </mc:AlternateContent>
        <mc:AlternateContent xmlns:mc="http://schemas.openxmlformats.org/markup-compatibility/2006">
          <mc:Choice Requires="x14">
            <control shapeId="1158" r:id="rId125" name="Check Box 134">
              <controlPr defaultSize="0" autoFill="0" autoLine="0" autoPict="0">
                <anchor moveWithCells="1">
                  <from>
                    <xdr:col>11</xdr:col>
                    <xdr:colOff>617220</xdr:colOff>
                    <xdr:row>29</xdr:row>
                    <xdr:rowOff>175260</xdr:rowOff>
                  </from>
                  <to>
                    <xdr:col>11</xdr:col>
                    <xdr:colOff>861060</xdr:colOff>
                    <xdr:row>31</xdr:row>
                    <xdr:rowOff>22860</xdr:rowOff>
                  </to>
                </anchor>
              </controlPr>
            </control>
          </mc:Choice>
        </mc:AlternateContent>
        <mc:AlternateContent xmlns:mc="http://schemas.openxmlformats.org/markup-compatibility/2006">
          <mc:Choice Requires="x14">
            <control shapeId="1159" r:id="rId126" name="Check Box 135">
              <controlPr defaultSize="0" autoFill="0" autoLine="0" autoPict="0">
                <anchor moveWithCells="1">
                  <from>
                    <xdr:col>11</xdr:col>
                    <xdr:colOff>617220</xdr:colOff>
                    <xdr:row>30</xdr:row>
                    <xdr:rowOff>175260</xdr:rowOff>
                  </from>
                  <to>
                    <xdr:col>11</xdr:col>
                    <xdr:colOff>861060</xdr:colOff>
                    <xdr:row>32</xdr:row>
                    <xdr:rowOff>22860</xdr:rowOff>
                  </to>
                </anchor>
              </controlPr>
            </control>
          </mc:Choice>
        </mc:AlternateContent>
        <mc:AlternateContent xmlns:mc="http://schemas.openxmlformats.org/markup-compatibility/2006">
          <mc:Choice Requires="x14">
            <control shapeId="1160" r:id="rId127" name="Check Box 136">
              <controlPr defaultSize="0" autoFill="0" autoLine="0" autoPict="0">
                <anchor moveWithCells="1">
                  <from>
                    <xdr:col>11</xdr:col>
                    <xdr:colOff>617220</xdr:colOff>
                    <xdr:row>31</xdr:row>
                    <xdr:rowOff>175260</xdr:rowOff>
                  </from>
                  <to>
                    <xdr:col>11</xdr:col>
                    <xdr:colOff>861060</xdr:colOff>
                    <xdr:row>33</xdr:row>
                    <xdr:rowOff>22860</xdr:rowOff>
                  </to>
                </anchor>
              </controlPr>
            </control>
          </mc:Choice>
        </mc:AlternateContent>
        <mc:AlternateContent xmlns:mc="http://schemas.openxmlformats.org/markup-compatibility/2006">
          <mc:Choice Requires="x14">
            <control shapeId="1161" r:id="rId128" name="Check Box 137">
              <controlPr defaultSize="0" autoFill="0" autoLine="0" autoPict="0">
                <anchor moveWithCells="1">
                  <from>
                    <xdr:col>11</xdr:col>
                    <xdr:colOff>617220</xdr:colOff>
                    <xdr:row>32</xdr:row>
                    <xdr:rowOff>175260</xdr:rowOff>
                  </from>
                  <to>
                    <xdr:col>11</xdr:col>
                    <xdr:colOff>861060</xdr:colOff>
                    <xdr:row>34</xdr:row>
                    <xdr:rowOff>22860</xdr:rowOff>
                  </to>
                </anchor>
              </controlPr>
            </control>
          </mc:Choice>
        </mc:AlternateContent>
        <mc:AlternateContent xmlns:mc="http://schemas.openxmlformats.org/markup-compatibility/2006">
          <mc:Choice Requires="x14">
            <control shapeId="1162" r:id="rId129" name="Check Box 138">
              <controlPr defaultSize="0" autoFill="0" autoLine="0" autoPict="0">
                <anchor moveWithCells="1">
                  <from>
                    <xdr:col>11</xdr:col>
                    <xdr:colOff>617220</xdr:colOff>
                    <xdr:row>33</xdr:row>
                    <xdr:rowOff>175260</xdr:rowOff>
                  </from>
                  <to>
                    <xdr:col>11</xdr:col>
                    <xdr:colOff>861060</xdr:colOff>
                    <xdr:row>35</xdr:row>
                    <xdr:rowOff>22860</xdr:rowOff>
                  </to>
                </anchor>
              </controlPr>
            </control>
          </mc:Choice>
        </mc:AlternateContent>
        <mc:AlternateContent xmlns:mc="http://schemas.openxmlformats.org/markup-compatibility/2006">
          <mc:Choice Requires="x14">
            <control shapeId="1163" r:id="rId130" name="Check Box 139">
              <controlPr defaultSize="0" autoFill="0" autoLine="0" autoPict="0">
                <anchor moveWithCells="1">
                  <from>
                    <xdr:col>11</xdr:col>
                    <xdr:colOff>617220</xdr:colOff>
                    <xdr:row>34</xdr:row>
                    <xdr:rowOff>175260</xdr:rowOff>
                  </from>
                  <to>
                    <xdr:col>11</xdr:col>
                    <xdr:colOff>861060</xdr:colOff>
                    <xdr:row>36</xdr:row>
                    <xdr:rowOff>22860</xdr:rowOff>
                  </to>
                </anchor>
              </controlPr>
            </control>
          </mc:Choice>
        </mc:AlternateContent>
        <mc:AlternateContent xmlns:mc="http://schemas.openxmlformats.org/markup-compatibility/2006">
          <mc:Choice Requires="x14">
            <control shapeId="1164" r:id="rId131" name="Check Box 140">
              <controlPr defaultSize="0" autoFill="0" autoLine="0" autoPict="0">
                <anchor moveWithCells="1">
                  <from>
                    <xdr:col>11</xdr:col>
                    <xdr:colOff>617220</xdr:colOff>
                    <xdr:row>35</xdr:row>
                    <xdr:rowOff>175260</xdr:rowOff>
                  </from>
                  <to>
                    <xdr:col>11</xdr:col>
                    <xdr:colOff>861060</xdr:colOff>
                    <xdr:row>37</xdr:row>
                    <xdr:rowOff>22860</xdr:rowOff>
                  </to>
                </anchor>
              </controlPr>
            </control>
          </mc:Choice>
        </mc:AlternateContent>
        <mc:AlternateContent xmlns:mc="http://schemas.openxmlformats.org/markup-compatibility/2006">
          <mc:Choice Requires="x14">
            <control shapeId="1165" r:id="rId132" name="Check Box 141">
              <controlPr defaultSize="0" autoFill="0" autoLine="0" autoPict="0">
                <anchor moveWithCells="1">
                  <from>
                    <xdr:col>11</xdr:col>
                    <xdr:colOff>617220</xdr:colOff>
                    <xdr:row>36</xdr:row>
                    <xdr:rowOff>175260</xdr:rowOff>
                  </from>
                  <to>
                    <xdr:col>11</xdr:col>
                    <xdr:colOff>861060</xdr:colOff>
                    <xdr:row>38</xdr:row>
                    <xdr:rowOff>22860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Peña Marques</dc:creator>
  <cp:lastModifiedBy>DANIEL GARCIA SALINAS</cp:lastModifiedBy>
  <dcterms:created xsi:type="dcterms:W3CDTF">2015-06-05T18:19:34Z</dcterms:created>
  <dcterms:modified xsi:type="dcterms:W3CDTF">2025-12-09T11:29:03Z</dcterms:modified>
</cp:coreProperties>
</file>